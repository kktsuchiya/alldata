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co2\Desktop\"/>
    </mc:Choice>
  </mc:AlternateContent>
  <xr:revisionPtr revIDLastSave="0" documentId="13_ncr:1_{5DC72194-F63E-4D78-B360-E09EADF5B8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タスク管理表" sheetId="6" r:id="rId1"/>
    <sheet name="祝祭日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タスク管理表!$A$1:$H$100</definedName>
    <definedName name="非稼働日">祝祭日!$D$3:$D$101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6" l="1"/>
  <c r="A25" i="6"/>
  <c r="A26" i="6"/>
  <c r="A27" i="6"/>
  <c r="A28" i="6"/>
  <c r="A29" i="6"/>
  <c r="A30" i="6"/>
  <c r="A31" i="6"/>
  <c r="A32" i="6"/>
  <c r="A33" i="6"/>
  <c r="A34" i="6"/>
  <c r="A5" i="6"/>
  <c r="D30" i="6" a="1"/>
  <c r="D26" i="6" a="1"/>
  <c r="D18" i="6" a="1"/>
  <c r="D14" i="6" a="1"/>
  <c r="D6" i="6" a="1"/>
  <c r="D29" i="6" a="1"/>
  <c r="D21" i="6" a="1"/>
  <c r="D9" i="6" a="1"/>
  <c r="D28" i="6" a="1"/>
  <c r="D20" i="6" a="1"/>
  <c r="D8" i="6" a="1"/>
  <c r="D31" i="6" a="1"/>
  <c r="D19" i="6" a="1"/>
  <c r="D7" i="6" a="1"/>
  <c r="D34" i="6" a="1"/>
  <c r="D22" i="6" a="1"/>
  <c r="D10" i="6" a="1"/>
  <c r="D25" i="6" a="1"/>
  <c r="D17" i="6" a="1"/>
  <c r="D24" i="6" a="1"/>
  <c r="D12" i="6" a="1"/>
  <c r="D23" i="6" a="1"/>
  <c r="D11" i="6" a="1"/>
  <c r="D33" i="6" a="1"/>
  <c r="D13" i="6" a="1"/>
  <c r="D32" i="6" a="1"/>
  <c r="D16" i="6" a="1"/>
  <c r="D27" i="6" a="1"/>
  <c r="D15" i="6" a="1"/>
  <c r="D5" i="6" a="1"/>
  <c r="D15" i="6" l="1"/>
  <c r="D27" i="6"/>
  <c r="D16" i="6"/>
  <c r="D32" i="6"/>
  <c r="D13" i="6"/>
  <c r="D33" i="6"/>
  <c r="D11" i="6"/>
  <c r="D23" i="6"/>
  <c r="D12" i="6"/>
  <c r="D24" i="6"/>
  <c r="D17" i="6"/>
  <c r="D25" i="6"/>
  <c r="D10" i="6"/>
  <c r="D22" i="6"/>
  <c r="D34" i="6"/>
  <c r="D7" i="6"/>
  <c r="D19" i="6"/>
  <c r="D31" i="6"/>
  <c r="D8" i="6"/>
  <c r="D20" i="6"/>
  <c r="D28" i="6"/>
  <c r="D9" i="6"/>
  <c r="D21" i="6"/>
  <c r="D29" i="6"/>
  <c r="D6" i="6"/>
  <c r="D14" i="6"/>
  <c r="D18" i="6"/>
  <c r="D26" i="6"/>
  <c r="D30" i="6"/>
  <c r="D5" i="6"/>
  <c r="A6" i="6"/>
  <c r="A23" i="6" l="1"/>
  <c r="A11" i="6" l="1"/>
  <c r="A9" i="6"/>
  <c r="A8" i="6"/>
  <c r="A22" i="6" l="1"/>
  <c r="A15" i="6" l="1"/>
  <c r="A12" i="6"/>
  <c r="A7" i="6"/>
  <c r="A21" i="6" l="1"/>
  <c r="A19" i="6"/>
  <c r="A18" i="6"/>
  <c r="A17" i="6"/>
  <c r="A14" i="6"/>
  <c r="A13" i="6"/>
  <c r="A10" i="6" l="1"/>
  <c r="A16" i="6"/>
  <c r="A2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<sst xmlns="http://schemas.openxmlformats.org/spreadsheetml/2006/main" count="256" uniqueCount="44">
  <si>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</si>
  <si>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</si>
  <si>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No</t>
    <phoneticPr fontId="3"/>
  </si>
  <si>
    <t>予定工数</t>
    <rPh sb="0" eb="2">
      <t>ヨテイ</t>
    </rPh>
    <rPh sb="2" eb="4">
      <t>コウスウ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</si>
  <si>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</si>
  <si>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</si>
  <si>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</si>
  <si>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</si>
  <si>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</si>
  <si>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</si>
  <si>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</si>
  <si>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</si>
  <si>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</si>
  <si>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</si>
  <si>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</si>
  <si>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</si>
  <si>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</si>
  <si>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</si>
  <si>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</si>
  <si>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</si>
  <si>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</si>
  <si>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XXXXX</t>
  </si>
  <si>
    <t>開始日</t>
    <rPh sb="0" eb="2">
      <t>カイシ</t>
    </rPh>
    <rPh sb="2" eb="3">
      <t>ビ</t>
    </rPh>
    <phoneticPr fontId="3"/>
  </si>
  <si>
    <t>開始予定</t>
    <rPh sb="0" eb="2">
      <t>カイシ</t>
    </rPh>
    <rPh sb="2" eb="4">
      <t>ヨテイ</t>
    </rPh>
    <phoneticPr fontId="3"/>
  </si>
  <si>
    <t>完了予定</t>
    <rPh sb="0" eb="2">
      <t>カンリョウ</t>
    </rPh>
    <rPh sb="2" eb="4">
      <t>ヨテイ</t>
    </rPh>
    <phoneticPr fontId="3"/>
  </si>
  <si>
    <t>完了日</t>
    <rPh sb="0" eb="2">
      <t>カンリョウ</t>
    </rPh>
    <rPh sb="2" eb="3">
      <t>ビ</t>
    </rPh>
    <phoneticPr fontId="3"/>
  </si>
  <si>
    <t>水</t>
  </si>
  <si>
    <t>木</t>
  </si>
  <si>
    <t>金</t>
  </si>
  <si>
    <t>土</t>
  </si>
  <si>
    <t>日</t>
  </si>
  <si>
    <t>月</t>
  </si>
  <si>
    <t>火</t>
  </si>
  <si>
    <t xml:space="preserve"> </t>
  </si>
  <si>
    <t>集計</t>
    <rPh sb="0" eb="2">
      <t>シュウケイ</t>
    </rPh>
    <phoneticPr fontId="3"/>
  </si>
  <si>
    <t>改修作業</t>
    <rPh sb="0" eb="2">
      <t>カイシュウ</t>
    </rPh>
    <rPh sb="2" eb="4">
      <t>サギョウ</t>
    </rPh>
    <phoneticPr fontId="18"/>
  </si>
  <si>
    <t>抽出</t>
    <rPh sb="0" eb="2">
      <t>チュウシュツ</t>
    </rPh>
    <phoneticPr fontId="3"/>
  </si>
  <si>
    <t>加工</t>
    <rPh sb="0" eb="2">
      <t>カコウ</t>
    </rPh>
    <phoneticPr fontId="3"/>
  </si>
  <si>
    <t>依頼</t>
    <rPh sb="0" eb="2">
      <t>イライ</t>
    </rPh>
    <phoneticPr fontId="18"/>
  </si>
  <si>
    <t>区分</t>
    <rPh sb="0" eb="2">
      <t>クブン</t>
    </rPh>
    <phoneticPr fontId="3"/>
  </si>
  <si>
    <t>週次</t>
    <rPh sb="0" eb="2">
      <t>シュウジ</t>
    </rPh>
    <phoneticPr fontId="3"/>
  </si>
  <si>
    <t>月次</t>
    <rPh sb="0" eb="2">
      <t>ゲツジ</t>
    </rPh>
    <phoneticPr fontId="3"/>
  </si>
  <si>
    <t>ステータス</t>
    <phoneticPr fontId="3"/>
  </si>
  <si>
    <t>XXXXX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</si>
</sst>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aaa"/>
    <numFmt numFmtId="177" formatCode="0\ &quot;日&quot;"/>
    <numFmt numFmtId="178" formatCode="m/d;@"/>
    <numFmt numFmtId="179" formatCode="m/d"/>
  </numFmts>
  <fonts count="25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6"/>
      <name val="メイリオ"/>
      <family val="2"/>
      <charset val="128"/>
    </font>
    <font>
      <sz val="11"/>
      <color theme="1"/>
      <name val="メイリオ"/>
      <family val="3"/>
      <charset val="128"/>
    </font>
    <font>
      <sz val="11"/>
      <name val="メイリオ"/>
      <family val="3"/>
      <charset val="128"/>
    </font>
    <font>
      <b/>
      <sz val="12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sz val="12"/>
      <color theme="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2DC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/>
      <bottom style="thin">
        <color rgb="FF808080"/>
      </bottom>
      <diagonal/>
    </border>
    <border>
      <left/>
      <right style="thick">
        <color theme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ck">
        <color theme="1"/>
      </right>
      <top style="thin">
        <color theme="1" tint="0.499984740745262"/>
      </top>
      <bottom/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/>
      <diagonal/>
    </border>
    <border>
      <left/>
      <right style="thick">
        <color theme="1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ck">
        <color theme="1"/>
      </right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11" fillId="0" borderId="0"/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14" fontId="6" fillId="0" borderId="0" xfId="0" applyNumberFormat="1" applyFont="1">
      <alignment vertical="center"/>
    </xf>
    <xf numFmtId="0" fontId="2" fillId="0" borderId="4" xfId="0" applyFont="1" applyFill="1" applyBorder="1" applyAlignment="1"/>
    <xf numFmtId="0" fontId="2" fillId="3" borderId="0" xfId="0" applyFont="1" applyFill="1" applyBorder="1" applyAlignment="1"/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7" fillId="0" borderId="1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78" fontId="2" fillId="0" borderId="10" xfId="0" applyNumberFormat="1" applyFont="1" applyFill="1" applyBorder="1" applyAlignment="1">
      <alignment horizontal="center"/>
    </xf>
    <xf numFmtId="177" fontId="2" fillId="0" borderId="5" xfId="0" applyNumberFormat="1" applyFont="1" applyBorder="1" applyAlignment="1">
      <alignment horizontal="center"/>
    </xf>
    <xf numFmtId="0" fontId="0" fillId="0" borderId="0" xfId="0" applyAlignment="1">
      <alignment vertical="center" shrinkToFit="1"/>
    </xf>
    <xf numFmtId="0" fontId="2" fillId="0" borderId="2" xfId="0" applyFont="1" applyFill="1" applyBorder="1" applyAlignment="1"/>
    <xf numFmtId="0" fontId="2" fillId="0" borderId="5" xfId="0" applyFont="1" applyFill="1" applyBorder="1" applyAlignment="1"/>
    <xf numFmtId="0" fontId="2" fillId="0" borderId="4" xfId="0" applyFont="1" applyFill="1" applyBorder="1" applyAlignment="1"/>
    <xf numFmtId="0" fontId="2" fillId="0" borderId="5" xfId="0" applyFont="1" applyFill="1" applyBorder="1" applyAlignment="1"/>
    <xf numFmtId="0" fontId="2" fillId="0" borderId="5" xfId="0" applyFont="1" applyFill="1" applyBorder="1" applyAlignment="1"/>
    <xf numFmtId="0" fontId="12" fillId="3" borderId="0" xfId="0" applyFont="1" applyFill="1" applyBorder="1" applyAlignment="1"/>
    <xf numFmtId="0" fontId="12" fillId="0" borderId="0" xfId="0" applyFont="1" applyFill="1" applyBorder="1" applyAlignment="1"/>
    <xf numFmtId="0" fontId="13" fillId="0" borderId="0" xfId="0" applyFont="1">
      <alignment vertical="center"/>
    </xf>
    <xf numFmtId="0" fontId="14" fillId="3" borderId="0" xfId="0" applyFont="1" applyFill="1" applyAlignment="1"/>
    <xf numFmtId="177" fontId="2" fillId="0" borderId="5" xfId="0" applyNumberFormat="1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15" fillId="0" borderId="10" xfId="0" applyNumberFormat="1" applyFont="1" applyFill="1" applyBorder="1" applyAlignment="1">
      <alignment horizontal="center" vertical="center"/>
    </xf>
    <xf numFmtId="178" fontId="15" fillId="0" borderId="11" xfId="0" applyNumberFormat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7" fillId="3" borderId="0" xfId="0" applyFont="1" applyFill="1" applyBorder="1" applyAlignment="1"/>
    <xf numFmtId="0" fontId="1" fillId="0" borderId="0" xfId="0" applyFont="1" applyAlignment="1">
      <alignment horizontal="center" vertical="center" shrinkToFit="1"/>
    </xf>
    <xf numFmtId="0" fontId="1" fillId="0" borderId="1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79" fontId="1" fillId="0" borderId="12" xfId="0" applyNumberFormat="1" applyFont="1" applyBorder="1" applyAlignment="1">
      <alignment horizontal="center" vertical="center"/>
    </xf>
    <xf numFmtId="0" fontId="21" fillId="0" borderId="1" xfId="0" applyFont="1" applyFill="1" applyBorder="1">
      <alignment vertical="center"/>
    </xf>
    <xf numFmtId="0" fontId="22" fillId="0" borderId="1" xfId="0" applyFont="1" applyFill="1" applyBorder="1">
      <alignment vertical="center"/>
    </xf>
    <xf numFmtId="0" fontId="20" fillId="0" borderId="2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178" fontId="19" fillId="0" borderId="5" xfId="0" applyNumberFormat="1" applyFont="1" applyFill="1" applyBorder="1" applyAlignment="1">
      <alignment horizontal="center" vertical="center"/>
    </xf>
    <xf numFmtId="178" fontId="19" fillId="0" borderId="2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vertical="center"/>
    </xf>
    <xf numFmtId="178" fontId="2" fillId="0" borderId="10" xfId="0" applyNumberFormat="1" applyFont="1" applyFill="1" applyBorder="1" applyAlignment="1">
      <alignment horizontal="center" vertical="center"/>
    </xf>
    <xf numFmtId="178" fontId="19" fillId="0" borderId="1" xfId="0" applyNumberFormat="1" applyFont="1" applyFill="1" applyBorder="1" applyAlignment="1">
      <alignment horizontal="center" vertical="center"/>
    </xf>
    <xf numFmtId="177" fontId="19" fillId="0" borderId="5" xfId="0" applyNumberFormat="1" applyFont="1" applyFill="1" applyBorder="1" applyAlignment="1">
      <alignment horizontal="center"/>
    </xf>
    <xf numFmtId="0" fontId="24" fillId="0" borderId="5" xfId="0" applyFont="1" applyFill="1" applyBorder="1" applyAlignment="1">
      <alignment vertical="center"/>
    </xf>
    <xf numFmtId="178" fontId="19" fillId="0" borderId="16" xfId="0" applyNumberFormat="1" applyFont="1" applyFill="1" applyBorder="1" applyAlignment="1">
      <alignment horizontal="center" vertical="center"/>
    </xf>
    <xf numFmtId="178" fontId="19" fillId="0" borderId="7" xfId="0" applyNumberFormat="1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24" fillId="0" borderId="6" xfId="0" applyFont="1" applyFill="1" applyBorder="1" applyAlignment="1">
      <alignment vertical="center"/>
    </xf>
    <xf numFmtId="177" fontId="19" fillId="0" borderId="6" xfId="0" applyNumberFormat="1" applyFont="1" applyFill="1" applyBorder="1" applyAlignment="1">
      <alignment horizontal="center"/>
    </xf>
    <xf numFmtId="178" fontId="19" fillId="0" borderId="17" xfId="0" applyNumberFormat="1" applyFont="1" applyFill="1" applyBorder="1" applyAlignment="1">
      <alignment horizontal="center" vertical="center"/>
    </xf>
    <xf numFmtId="0" fontId="20" fillId="0" borderId="18" xfId="0" applyFont="1" applyFill="1" applyBorder="1" applyAlignment="1">
      <alignment horizontal="center" vertical="center"/>
    </xf>
    <xf numFmtId="0" fontId="24" fillId="0" borderId="19" xfId="0" applyFont="1" applyFill="1" applyBorder="1" applyAlignment="1">
      <alignment vertical="center"/>
    </xf>
    <xf numFmtId="177" fontId="19" fillId="0" borderId="19" xfId="0" applyNumberFormat="1" applyFont="1" applyFill="1" applyBorder="1" applyAlignment="1">
      <alignment horizontal="center"/>
    </xf>
    <xf numFmtId="178" fontId="2" fillId="0" borderId="20" xfId="0" applyNumberFormat="1" applyFont="1" applyFill="1" applyBorder="1" applyAlignment="1">
      <alignment horizontal="center" vertical="center"/>
    </xf>
    <xf numFmtId="178" fontId="2" fillId="0" borderId="21" xfId="0" applyNumberFormat="1" applyFont="1" applyFill="1" applyBorder="1" applyAlignment="1">
      <alignment horizontal="center"/>
    </xf>
    <xf numFmtId="178" fontId="19" fillId="0" borderId="19" xfId="0" applyNumberFormat="1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vertical="center"/>
    </xf>
    <xf numFmtId="177" fontId="19" fillId="0" borderId="1" xfId="0" applyNumberFormat="1" applyFont="1" applyFill="1" applyBorder="1" applyAlignment="1">
      <alignment horizontal="center"/>
    </xf>
    <xf numFmtId="0" fontId="16" fillId="4" borderId="23" xfId="0" applyFont="1" applyFill="1" applyBorder="1" applyAlignment="1">
      <alignment horizontal="center" vertical="center"/>
    </xf>
    <xf numFmtId="178" fontId="19" fillId="0" borderId="24" xfId="0" applyNumberFormat="1" applyFont="1" applyFill="1" applyBorder="1" applyAlignment="1">
      <alignment horizontal="center" vertical="center"/>
    </xf>
    <xf numFmtId="178" fontId="19" fillId="0" borderId="25" xfId="0" applyNumberFormat="1" applyFont="1" applyFill="1" applyBorder="1" applyAlignment="1">
      <alignment horizontal="center" vertical="center"/>
    </xf>
    <xf numFmtId="178" fontId="19" fillId="0" borderId="26" xfId="0" applyNumberFormat="1" applyFont="1" applyFill="1" applyBorder="1" applyAlignment="1">
      <alignment horizontal="center" vertical="center"/>
    </xf>
    <xf numFmtId="178" fontId="19" fillId="0" borderId="22" xfId="0" applyNumberFormat="1" applyFont="1" applyFill="1" applyBorder="1" applyAlignment="1">
      <alignment horizontal="center" vertical="center"/>
    </xf>
    <xf numFmtId="178" fontId="19" fillId="0" borderId="27" xfId="0" applyNumberFormat="1" applyFont="1" applyFill="1" applyBorder="1" applyAlignment="1">
      <alignment horizontal="center" vertical="center"/>
    </xf>
    <xf numFmtId="0" fontId="19" fillId="0" borderId="4" xfId="0" applyFont="1" applyFill="1" applyBorder="1" applyAlignment="1"/>
    <xf numFmtId="0" fontId="19" fillId="0" borderId="5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2">
    <dxf>
      <font>
        <color rgb="FFFF0000"/>
      </font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8F5D4"/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190500</xdr:rowOff>
        </xdr:from>
        <xdr:to>
          <xdr:col>2</xdr:col>
          <xdr:colOff>657225</xdr:colOff>
          <xdr:row>1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0</xdr:row>
          <xdr:rowOff>200025</xdr:rowOff>
        </xdr:from>
        <xdr:to>
          <xdr:col>2</xdr:col>
          <xdr:colOff>1838325</xdr:colOff>
          <xdr:row>1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209550</xdr:rowOff>
        </xdr:from>
        <xdr:to>
          <xdr:col>3</xdr:col>
          <xdr:colOff>838200</xdr:colOff>
          <xdr:row>1</xdr:row>
          <xdr:rowOff>247650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矢印削除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5</xdr:row>
      <xdr:rowOff>152400</xdr:rowOff>
    </xdr:from>
    <xdr:to>
      <xdr:col>24</xdr:col>
      <xdr:colOff>0</xdr:colOff>
      <xdr:row>5</xdr:row>
      <xdr:rowOff>152400</xdr:rowOff>
    </xdr:to>
    <xdr:cxnSp macro="">
      <xdr:nvCxnSpPr>
        <xdr:cNvPr id="1058" name="直線矢印コネクタ 1057">
          <a:extLst>
            <a:ext uri="{FF2B5EF4-FFF2-40B4-BE49-F238E27FC236}">
              <a16:creationId xmlns:a16="http://schemas.microsoft.com/office/drawing/2014/main" id="{C981EE38-B014-4CBC-97B6-226B6D9E06DA}"/>
            </a:ext>
          </a:extLst>
        </xdr:cNvPr>
        <xdr:cNvCxnSpPr/>
      </xdr:nvCxnSpPr>
      <xdr:spPr>
        <a:xfrm>
          <a:off x="9420225" y="1781175"/>
          <a:ext cx="4714875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</xdr:row>
      <xdr:rowOff>152400</xdr:rowOff>
    </xdr:from>
    <xdr:to>
      <xdr:col>20</xdr:col>
      <xdr:colOff>0</xdr:colOff>
      <xdr:row>6</xdr:row>
      <xdr:rowOff>152400</xdr:rowOff>
    </xdr:to>
    <xdr:cxnSp macro="">
      <xdr:nvCxnSpPr>
        <xdr:cNvPr id="1059" name="直線矢印コネクタ 1058">
          <a:extLst>
            <a:ext uri="{FF2B5EF4-FFF2-40B4-BE49-F238E27FC236}">
              <a16:creationId xmlns:a16="http://schemas.microsoft.com/office/drawing/2014/main" id="{EC675B1F-6F86-4E6B-9F57-0010B510ED73}"/>
            </a:ext>
          </a:extLst>
        </xdr:cNvPr>
        <xdr:cNvCxnSpPr/>
      </xdr:nvCxnSpPr>
      <xdr:spPr>
        <a:xfrm>
          <a:off x="11134725" y="2085975"/>
          <a:ext cx="1285875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</xdr:row>
      <xdr:rowOff>152400</xdr:rowOff>
    </xdr:from>
    <xdr:to>
      <xdr:col>28</xdr:col>
      <xdr:colOff>0</xdr:colOff>
      <xdr:row>7</xdr:row>
      <xdr:rowOff>152400</xdr:rowOff>
    </xdr:to>
    <xdr:cxnSp macro="">
      <xdr:nvCxnSpPr>
        <xdr:cNvPr id="1060" name="直線矢印コネクタ 1059">
          <a:extLst>
            <a:ext uri="{FF2B5EF4-FFF2-40B4-BE49-F238E27FC236}">
              <a16:creationId xmlns:a16="http://schemas.microsoft.com/office/drawing/2014/main" id="{3C8E6BD5-823E-4EB7-BE91-8350E101233A}"/>
            </a:ext>
          </a:extLst>
        </xdr:cNvPr>
        <xdr:cNvCxnSpPr/>
      </xdr:nvCxnSpPr>
      <xdr:spPr>
        <a:xfrm>
          <a:off x="12420600" y="2390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152400</xdr:rowOff>
    </xdr:from>
    <xdr:to>
      <xdr:col>31</xdr:col>
      <xdr:colOff>0</xdr:colOff>
      <xdr:row>8</xdr:row>
      <xdr:rowOff>152400</xdr:rowOff>
    </xdr:to>
    <xdr:cxnSp macro="">
      <xdr:nvCxnSpPr>
        <xdr:cNvPr id="1061" name="直線矢印コネクタ 1060">
          <a:extLst>
            <a:ext uri="{FF2B5EF4-FFF2-40B4-BE49-F238E27FC236}">
              <a16:creationId xmlns:a16="http://schemas.microsoft.com/office/drawing/2014/main" id="{B89AB749-891D-43D0-9085-E2BA83836887}"/>
            </a:ext>
          </a:extLst>
        </xdr:cNvPr>
        <xdr:cNvCxnSpPr/>
      </xdr:nvCxnSpPr>
      <xdr:spPr>
        <a:xfrm>
          <a:off x="13706475" y="2695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9</xdr:row>
      <xdr:rowOff>152400</xdr:rowOff>
    </xdr:from>
    <xdr:to>
      <xdr:col>34</xdr:col>
      <xdr:colOff>0</xdr:colOff>
      <xdr:row>9</xdr:row>
      <xdr:rowOff>152400</xdr:rowOff>
    </xdr:to>
    <xdr:cxnSp macro="">
      <xdr:nvCxnSpPr>
        <xdr:cNvPr id="1062" name="直線矢印コネクタ 1061">
          <a:extLst>
            <a:ext uri="{FF2B5EF4-FFF2-40B4-BE49-F238E27FC236}">
              <a16:creationId xmlns:a16="http://schemas.microsoft.com/office/drawing/2014/main" id="{0E75EAD3-B4F3-4E5A-A594-799C9830B6EB}"/>
            </a:ext>
          </a:extLst>
        </xdr:cNvPr>
        <xdr:cNvCxnSpPr/>
      </xdr:nvCxnSpPr>
      <xdr:spPr>
        <a:xfrm>
          <a:off x="15849600" y="3000375"/>
          <a:ext cx="257175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10</xdr:row>
      <xdr:rowOff>152400</xdr:rowOff>
    </xdr:from>
    <xdr:to>
      <xdr:col>36</xdr:col>
      <xdr:colOff>0</xdr:colOff>
      <xdr:row>10</xdr:row>
      <xdr:rowOff>152400</xdr:rowOff>
    </xdr:to>
    <xdr:cxnSp macro="">
      <xdr:nvCxnSpPr>
        <xdr:cNvPr id="1063" name="直線矢印コネクタ 1062">
          <a:extLst>
            <a:ext uri="{FF2B5EF4-FFF2-40B4-BE49-F238E27FC236}">
              <a16:creationId xmlns:a16="http://schemas.microsoft.com/office/drawing/2014/main" id="{BA38A2E2-E805-4937-9631-5A37255C31B0}"/>
            </a:ext>
          </a:extLst>
        </xdr:cNvPr>
        <xdr:cNvCxnSpPr/>
      </xdr:nvCxnSpPr>
      <xdr:spPr>
        <a:xfrm>
          <a:off x="16706850" y="3305175"/>
          <a:ext cx="257175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11</xdr:row>
      <xdr:rowOff>152400</xdr:rowOff>
    </xdr:from>
    <xdr:to>
      <xdr:col>37</xdr:col>
      <xdr:colOff>0</xdr:colOff>
      <xdr:row>11</xdr:row>
      <xdr:rowOff>152400</xdr:rowOff>
    </xdr:to>
    <xdr:cxnSp macro="">
      <xdr:nvCxnSpPr>
        <xdr:cNvPr id="1064" name="直線矢印コネクタ 1063">
          <a:extLst>
            <a:ext uri="{FF2B5EF4-FFF2-40B4-BE49-F238E27FC236}">
              <a16:creationId xmlns:a16="http://schemas.microsoft.com/office/drawing/2014/main" id="{4693A9B4-D7A6-47DA-897A-85256AE1835F}"/>
            </a:ext>
          </a:extLst>
        </xdr:cNvPr>
        <xdr:cNvCxnSpPr/>
      </xdr:nvCxnSpPr>
      <xdr:spPr>
        <a:xfrm>
          <a:off x="18849975" y="3609975"/>
          <a:ext cx="85725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12</xdr:row>
      <xdr:rowOff>152400</xdr:rowOff>
    </xdr:from>
    <xdr:to>
      <xdr:col>36</xdr:col>
      <xdr:colOff>0</xdr:colOff>
      <xdr:row>12</xdr:row>
      <xdr:rowOff>152400</xdr:rowOff>
    </xdr:to>
    <xdr:cxnSp macro="">
      <xdr:nvCxnSpPr>
        <xdr:cNvPr id="1065" name="直線矢印コネクタ 1064">
          <a:extLst>
            <a:ext uri="{FF2B5EF4-FFF2-40B4-BE49-F238E27FC236}">
              <a16:creationId xmlns:a16="http://schemas.microsoft.com/office/drawing/2014/main" id="{F7996E84-66EF-441E-9066-AA97FDB02494}"/>
            </a:ext>
          </a:extLst>
        </xdr:cNvPr>
        <xdr:cNvCxnSpPr/>
      </xdr:nvCxnSpPr>
      <xdr:spPr>
        <a:xfrm>
          <a:off x="15849600" y="3914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13</xdr:row>
      <xdr:rowOff>152400</xdr:rowOff>
    </xdr:from>
    <xdr:to>
      <xdr:col>36</xdr:col>
      <xdr:colOff>0</xdr:colOff>
      <xdr:row>13</xdr:row>
      <xdr:rowOff>152400</xdr:rowOff>
    </xdr:to>
    <xdr:cxnSp macro="">
      <xdr:nvCxnSpPr>
        <xdr:cNvPr id="1066" name="直線矢印コネクタ 1065">
          <a:extLst>
            <a:ext uri="{FF2B5EF4-FFF2-40B4-BE49-F238E27FC236}">
              <a16:creationId xmlns:a16="http://schemas.microsoft.com/office/drawing/2014/main" id="{BCEF0824-5E92-4DCC-B093-ECF30820FD8E}"/>
            </a:ext>
          </a:extLst>
        </xdr:cNvPr>
        <xdr:cNvCxnSpPr/>
      </xdr:nvCxnSpPr>
      <xdr:spPr>
        <a:xfrm>
          <a:off x="15849600" y="4219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14</xdr:row>
      <xdr:rowOff>152400</xdr:rowOff>
    </xdr:from>
    <xdr:to>
      <xdr:col>36</xdr:col>
      <xdr:colOff>0</xdr:colOff>
      <xdr:row>14</xdr:row>
      <xdr:rowOff>152400</xdr:rowOff>
    </xdr:to>
    <xdr:cxnSp macro="">
      <xdr:nvCxnSpPr>
        <xdr:cNvPr id="1067" name="直線矢印コネクタ 1066">
          <a:extLst>
            <a:ext uri="{FF2B5EF4-FFF2-40B4-BE49-F238E27FC236}">
              <a16:creationId xmlns:a16="http://schemas.microsoft.com/office/drawing/2014/main" id="{435FD66C-A2BF-49A3-B90C-C8E345B40B8A}"/>
            </a:ext>
          </a:extLst>
        </xdr:cNvPr>
        <xdr:cNvCxnSpPr/>
      </xdr:nvCxnSpPr>
      <xdr:spPr>
        <a:xfrm>
          <a:off x="15849600" y="45243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15</xdr:row>
      <xdr:rowOff>152400</xdr:rowOff>
    </xdr:from>
    <xdr:to>
      <xdr:col>36</xdr:col>
      <xdr:colOff>0</xdr:colOff>
      <xdr:row>15</xdr:row>
      <xdr:rowOff>152400</xdr:rowOff>
    </xdr:to>
    <xdr:cxnSp macro="">
      <xdr:nvCxnSpPr>
        <xdr:cNvPr id="1068" name="直線矢印コネクタ 1067">
          <a:extLst>
            <a:ext uri="{FF2B5EF4-FFF2-40B4-BE49-F238E27FC236}">
              <a16:creationId xmlns:a16="http://schemas.microsoft.com/office/drawing/2014/main" id="{3FA915A1-1C8D-419A-9436-30180F2FF556}"/>
            </a:ext>
          </a:extLst>
        </xdr:cNvPr>
        <xdr:cNvCxnSpPr/>
      </xdr:nvCxnSpPr>
      <xdr:spPr>
        <a:xfrm>
          <a:off x="15849600" y="48291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16</xdr:row>
      <xdr:rowOff>152400</xdr:rowOff>
    </xdr:from>
    <xdr:to>
      <xdr:col>36</xdr:col>
      <xdr:colOff>0</xdr:colOff>
      <xdr:row>16</xdr:row>
      <xdr:rowOff>152400</xdr:rowOff>
    </xdr:to>
    <xdr:cxnSp macro="">
      <xdr:nvCxnSpPr>
        <xdr:cNvPr id="1069" name="直線矢印コネクタ 1068">
          <a:extLst>
            <a:ext uri="{FF2B5EF4-FFF2-40B4-BE49-F238E27FC236}">
              <a16:creationId xmlns:a16="http://schemas.microsoft.com/office/drawing/2014/main" id="{53FBA755-89A5-4077-B592-85C143AB1535}"/>
            </a:ext>
          </a:extLst>
        </xdr:cNvPr>
        <xdr:cNvCxnSpPr/>
      </xdr:nvCxnSpPr>
      <xdr:spPr>
        <a:xfrm>
          <a:off x="15849600" y="51339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17</xdr:row>
      <xdr:rowOff>152400</xdr:rowOff>
    </xdr:from>
    <xdr:to>
      <xdr:col>36</xdr:col>
      <xdr:colOff>0</xdr:colOff>
      <xdr:row>17</xdr:row>
      <xdr:rowOff>152400</xdr:rowOff>
    </xdr:to>
    <xdr:cxnSp macro="">
      <xdr:nvCxnSpPr>
        <xdr:cNvPr id="1078" name="直線矢印コネクタ 1077">
          <a:extLst>
            <a:ext uri="{FF2B5EF4-FFF2-40B4-BE49-F238E27FC236}">
              <a16:creationId xmlns:a16="http://schemas.microsoft.com/office/drawing/2014/main" id="{74272FBF-1D03-4805-9224-60BECF6B2313}"/>
            </a:ext>
          </a:extLst>
        </xdr:cNvPr>
        <xdr:cNvCxnSpPr/>
      </xdr:nvCxnSpPr>
      <xdr:spPr>
        <a:xfrm>
          <a:off x="15849600" y="5438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18</xdr:row>
      <xdr:rowOff>152400</xdr:rowOff>
    </xdr:from>
    <xdr:to>
      <xdr:col>36</xdr:col>
      <xdr:colOff>0</xdr:colOff>
      <xdr:row>18</xdr:row>
      <xdr:rowOff>152400</xdr:rowOff>
    </xdr:to>
    <xdr:cxnSp macro="">
      <xdr:nvCxnSpPr>
        <xdr:cNvPr id="1079" name="直線矢印コネクタ 1078">
          <a:extLst>
            <a:ext uri="{FF2B5EF4-FFF2-40B4-BE49-F238E27FC236}">
              <a16:creationId xmlns:a16="http://schemas.microsoft.com/office/drawing/2014/main" id="{AFD28514-FD72-4416-B440-767ECD7CD25B}"/>
            </a:ext>
          </a:extLst>
        </xdr:cNvPr>
        <xdr:cNvCxnSpPr/>
      </xdr:nvCxnSpPr>
      <xdr:spPr>
        <a:xfrm>
          <a:off x="15849600" y="5743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19</xdr:row>
      <xdr:rowOff>152400</xdr:rowOff>
    </xdr:from>
    <xdr:to>
      <xdr:col>36</xdr:col>
      <xdr:colOff>0</xdr:colOff>
      <xdr:row>19</xdr:row>
      <xdr:rowOff>152400</xdr:rowOff>
    </xdr:to>
    <xdr:cxnSp macro="">
      <xdr:nvCxnSpPr>
        <xdr:cNvPr id="1080" name="直線矢印コネクタ 1079">
          <a:extLst>
            <a:ext uri="{FF2B5EF4-FFF2-40B4-BE49-F238E27FC236}">
              <a16:creationId xmlns:a16="http://schemas.microsoft.com/office/drawing/2014/main" id="{97881D1F-A887-4FF7-BC15-6E73CAF56AF4}"/>
            </a:ext>
          </a:extLst>
        </xdr:cNvPr>
        <xdr:cNvCxnSpPr/>
      </xdr:nvCxnSpPr>
      <xdr:spPr>
        <a:xfrm>
          <a:off x="15849600" y="60483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20</xdr:row>
      <xdr:rowOff>152400</xdr:rowOff>
    </xdr:from>
    <xdr:to>
      <xdr:col>36</xdr:col>
      <xdr:colOff>0</xdr:colOff>
      <xdr:row>20</xdr:row>
      <xdr:rowOff>152400</xdr:rowOff>
    </xdr:to>
    <xdr:cxnSp macro="">
      <xdr:nvCxnSpPr>
        <xdr:cNvPr id="1081" name="直線矢印コネクタ 1080">
          <a:extLst>
            <a:ext uri="{FF2B5EF4-FFF2-40B4-BE49-F238E27FC236}">
              <a16:creationId xmlns:a16="http://schemas.microsoft.com/office/drawing/2014/main" id="{87A72164-502A-4548-A37B-B6657FC94795}"/>
            </a:ext>
          </a:extLst>
        </xdr:cNvPr>
        <xdr:cNvCxnSpPr/>
      </xdr:nvCxnSpPr>
      <xdr:spPr>
        <a:xfrm>
          <a:off x="15849600" y="63531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21</xdr:row>
      <xdr:rowOff>152400</xdr:rowOff>
    </xdr:from>
    <xdr:to>
      <xdr:col>36</xdr:col>
      <xdr:colOff>0</xdr:colOff>
      <xdr:row>21</xdr:row>
      <xdr:rowOff>152400</xdr:rowOff>
    </xdr:to>
    <xdr:cxnSp macro="">
      <xdr:nvCxnSpPr>
        <xdr:cNvPr id="1082" name="直線矢印コネクタ 1081">
          <a:extLst>
            <a:ext uri="{FF2B5EF4-FFF2-40B4-BE49-F238E27FC236}">
              <a16:creationId xmlns:a16="http://schemas.microsoft.com/office/drawing/2014/main" id="{9132EDCD-B135-4ED7-9C54-17508B517D25}"/>
            </a:ext>
          </a:extLst>
        </xdr:cNvPr>
        <xdr:cNvCxnSpPr/>
      </xdr:nvCxnSpPr>
      <xdr:spPr>
        <a:xfrm>
          <a:off x="15849600" y="66579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22</xdr:row>
      <xdr:rowOff>152400</xdr:rowOff>
    </xdr:from>
    <xdr:to>
      <xdr:col>36</xdr:col>
      <xdr:colOff>0</xdr:colOff>
      <xdr:row>22</xdr:row>
      <xdr:rowOff>152400</xdr:rowOff>
    </xdr:to>
    <xdr:cxnSp macro="">
      <xdr:nvCxnSpPr>
        <xdr:cNvPr id="1083" name="直線矢印コネクタ 1082">
          <a:extLst>
            <a:ext uri="{FF2B5EF4-FFF2-40B4-BE49-F238E27FC236}">
              <a16:creationId xmlns:a16="http://schemas.microsoft.com/office/drawing/2014/main" id="{03209605-0CFF-4EFC-8C97-ED730032C1AD}"/>
            </a:ext>
          </a:extLst>
        </xdr:cNvPr>
        <xdr:cNvCxnSpPr/>
      </xdr:nvCxnSpPr>
      <xdr:spPr>
        <a:xfrm>
          <a:off x="15849600" y="6962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23</xdr:row>
      <xdr:rowOff>152400</xdr:rowOff>
    </xdr:from>
    <xdr:to>
      <xdr:col>36</xdr:col>
      <xdr:colOff>0</xdr:colOff>
      <xdr:row>23</xdr:row>
      <xdr:rowOff>152400</xdr:rowOff>
    </xdr:to>
    <xdr:cxnSp macro="">
      <xdr:nvCxnSpPr>
        <xdr:cNvPr id="1084" name="直線矢印コネクタ 1083">
          <a:extLst>
            <a:ext uri="{FF2B5EF4-FFF2-40B4-BE49-F238E27FC236}">
              <a16:creationId xmlns:a16="http://schemas.microsoft.com/office/drawing/2014/main" id="{CDC435AC-2B85-4470-9D57-0509C86EAFE8}"/>
            </a:ext>
          </a:extLst>
        </xdr:cNvPr>
        <xdr:cNvCxnSpPr/>
      </xdr:nvCxnSpPr>
      <xdr:spPr>
        <a:xfrm>
          <a:off x="15849600" y="7267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24</xdr:row>
      <xdr:rowOff>152400</xdr:rowOff>
    </xdr:from>
    <xdr:to>
      <xdr:col>36</xdr:col>
      <xdr:colOff>0</xdr:colOff>
      <xdr:row>24</xdr:row>
      <xdr:rowOff>152400</xdr:rowOff>
    </xdr:to>
    <xdr:cxnSp macro="">
      <xdr:nvCxnSpPr>
        <xdr:cNvPr id="1085" name="直線矢印コネクタ 1084">
          <a:extLst>
            <a:ext uri="{FF2B5EF4-FFF2-40B4-BE49-F238E27FC236}">
              <a16:creationId xmlns:a16="http://schemas.microsoft.com/office/drawing/2014/main" id="{95208539-D65A-49B3-A990-BDC0AF3255A5}"/>
            </a:ext>
          </a:extLst>
        </xdr:cNvPr>
        <xdr:cNvCxnSpPr/>
      </xdr:nvCxnSpPr>
      <xdr:spPr>
        <a:xfrm>
          <a:off x="15849600" y="75723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25</xdr:row>
      <xdr:rowOff>152400</xdr:rowOff>
    </xdr:from>
    <xdr:to>
      <xdr:col>36</xdr:col>
      <xdr:colOff>0</xdr:colOff>
      <xdr:row>25</xdr:row>
      <xdr:rowOff>152400</xdr:rowOff>
    </xdr:to>
    <xdr:cxnSp macro="">
      <xdr:nvCxnSpPr>
        <xdr:cNvPr id="1086" name="直線矢印コネクタ 1085">
          <a:extLst>
            <a:ext uri="{FF2B5EF4-FFF2-40B4-BE49-F238E27FC236}">
              <a16:creationId xmlns:a16="http://schemas.microsoft.com/office/drawing/2014/main" id="{C14DA32A-B42C-4981-8CEF-211ABA75051A}"/>
            </a:ext>
          </a:extLst>
        </xdr:cNvPr>
        <xdr:cNvCxnSpPr/>
      </xdr:nvCxnSpPr>
      <xdr:spPr>
        <a:xfrm>
          <a:off x="15849600" y="78771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26</xdr:row>
      <xdr:rowOff>152400</xdr:rowOff>
    </xdr:from>
    <xdr:to>
      <xdr:col>36</xdr:col>
      <xdr:colOff>0</xdr:colOff>
      <xdr:row>26</xdr:row>
      <xdr:rowOff>152400</xdr:rowOff>
    </xdr:to>
    <xdr:cxnSp macro="">
      <xdr:nvCxnSpPr>
        <xdr:cNvPr id="1087" name="直線矢印コネクタ 1086">
          <a:extLst>
            <a:ext uri="{FF2B5EF4-FFF2-40B4-BE49-F238E27FC236}">
              <a16:creationId xmlns:a16="http://schemas.microsoft.com/office/drawing/2014/main" id="{461B1982-592E-4A47-9266-42749639CFC4}"/>
            </a:ext>
          </a:extLst>
        </xdr:cNvPr>
        <xdr:cNvCxnSpPr/>
      </xdr:nvCxnSpPr>
      <xdr:spPr>
        <a:xfrm>
          <a:off x="15849600" y="81819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27</xdr:row>
      <xdr:rowOff>152400</xdr:rowOff>
    </xdr:from>
    <xdr:to>
      <xdr:col>36</xdr:col>
      <xdr:colOff>0</xdr:colOff>
      <xdr:row>27</xdr:row>
      <xdr:rowOff>152400</xdr:rowOff>
    </xdr:to>
    <xdr:cxnSp macro="">
      <xdr:nvCxnSpPr>
        <xdr:cNvPr id="1088" name="直線矢印コネクタ 1087">
          <a:extLst>
            <a:ext uri="{FF2B5EF4-FFF2-40B4-BE49-F238E27FC236}">
              <a16:creationId xmlns:a16="http://schemas.microsoft.com/office/drawing/2014/main" id="{4A4AF184-FB9A-491E-A792-15C1D7F4A2AE}"/>
            </a:ext>
          </a:extLst>
        </xdr:cNvPr>
        <xdr:cNvCxnSpPr/>
      </xdr:nvCxnSpPr>
      <xdr:spPr>
        <a:xfrm>
          <a:off x="15849600" y="8486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28</xdr:row>
      <xdr:rowOff>152400</xdr:rowOff>
    </xdr:from>
    <xdr:to>
      <xdr:col>36</xdr:col>
      <xdr:colOff>0</xdr:colOff>
      <xdr:row>28</xdr:row>
      <xdr:rowOff>152400</xdr:rowOff>
    </xdr:to>
    <xdr:cxnSp macro="">
      <xdr:nvCxnSpPr>
        <xdr:cNvPr id="1089" name="直線矢印コネクタ 1088">
          <a:extLst>
            <a:ext uri="{FF2B5EF4-FFF2-40B4-BE49-F238E27FC236}">
              <a16:creationId xmlns:a16="http://schemas.microsoft.com/office/drawing/2014/main" id="{4B5BC7BB-622D-4914-9C8E-150299617F75}"/>
            </a:ext>
          </a:extLst>
        </xdr:cNvPr>
        <xdr:cNvCxnSpPr/>
      </xdr:nvCxnSpPr>
      <xdr:spPr>
        <a:xfrm>
          <a:off x="15849600" y="8791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29</xdr:row>
      <xdr:rowOff>152400</xdr:rowOff>
    </xdr:from>
    <xdr:to>
      <xdr:col>36</xdr:col>
      <xdr:colOff>0</xdr:colOff>
      <xdr:row>29</xdr:row>
      <xdr:rowOff>152400</xdr:rowOff>
    </xdr:to>
    <xdr:cxnSp macro="">
      <xdr:nvCxnSpPr>
        <xdr:cNvPr id="1090" name="直線矢印コネクタ 1089">
          <a:extLst>
            <a:ext uri="{FF2B5EF4-FFF2-40B4-BE49-F238E27FC236}">
              <a16:creationId xmlns:a16="http://schemas.microsoft.com/office/drawing/2014/main" id="{C0AD3ABC-9057-4EAD-B688-4A34DEE12E2D}"/>
            </a:ext>
          </a:extLst>
        </xdr:cNvPr>
        <xdr:cNvCxnSpPr/>
      </xdr:nvCxnSpPr>
      <xdr:spPr>
        <a:xfrm>
          <a:off x="15849600" y="90963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30</xdr:row>
      <xdr:rowOff>152400</xdr:rowOff>
    </xdr:from>
    <xdr:to>
      <xdr:col>36</xdr:col>
      <xdr:colOff>0</xdr:colOff>
      <xdr:row>30</xdr:row>
      <xdr:rowOff>152400</xdr:rowOff>
    </xdr:to>
    <xdr:cxnSp macro="">
      <xdr:nvCxnSpPr>
        <xdr:cNvPr id="1091" name="直線矢印コネクタ 1090">
          <a:extLst>
            <a:ext uri="{FF2B5EF4-FFF2-40B4-BE49-F238E27FC236}">
              <a16:creationId xmlns:a16="http://schemas.microsoft.com/office/drawing/2014/main" id="{ABC88F3C-FA4E-498E-A95E-1160312FDE48}"/>
            </a:ext>
          </a:extLst>
        </xdr:cNvPr>
        <xdr:cNvCxnSpPr/>
      </xdr:nvCxnSpPr>
      <xdr:spPr>
        <a:xfrm>
          <a:off x="15849600" y="94011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31</xdr:row>
      <xdr:rowOff>152400</xdr:rowOff>
    </xdr:from>
    <xdr:to>
      <xdr:col>36</xdr:col>
      <xdr:colOff>0</xdr:colOff>
      <xdr:row>31</xdr:row>
      <xdr:rowOff>152400</xdr:rowOff>
    </xdr:to>
    <xdr:cxnSp macro="">
      <xdr:nvCxnSpPr>
        <xdr:cNvPr id="1092" name="直線矢印コネクタ 1091">
          <a:extLst>
            <a:ext uri="{FF2B5EF4-FFF2-40B4-BE49-F238E27FC236}">
              <a16:creationId xmlns:a16="http://schemas.microsoft.com/office/drawing/2014/main" id="{C1727A1A-F6AE-4B79-BF94-36851AD50AC7}"/>
            </a:ext>
          </a:extLst>
        </xdr:cNvPr>
        <xdr:cNvCxnSpPr/>
      </xdr:nvCxnSpPr>
      <xdr:spPr>
        <a:xfrm>
          <a:off x="15849600" y="97059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32</xdr:row>
      <xdr:rowOff>152400</xdr:rowOff>
    </xdr:from>
    <xdr:to>
      <xdr:col>36</xdr:col>
      <xdr:colOff>0</xdr:colOff>
      <xdr:row>32</xdr:row>
      <xdr:rowOff>152400</xdr:rowOff>
    </xdr:to>
    <xdr:cxnSp macro="">
      <xdr:nvCxnSpPr>
        <xdr:cNvPr id="1093" name="直線矢印コネクタ 1092">
          <a:extLst>
            <a:ext uri="{FF2B5EF4-FFF2-40B4-BE49-F238E27FC236}">
              <a16:creationId xmlns:a16="http://schemas.microsoft.com/office/drawing/2014/main" id="{C32954E0-8F1A-4B48-BDA9-CA7238379F7B}"/>
            </a:ext>
          </a:extLst>
        </xdr:cNvPr>
        <xdr:cNvCxnSpPr/>
      </xdr:nvCxnSpPr>
      <xdr:spPr>
        <a:xfrm>
          <a:off x="15849600" y="10010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33</xdr:row>
      <xdr:rowOff>152400</xdr:rowOff>
    </xdr:from>
    <xdr:to>
      <xdr:col>36</xdr:col>
      <xdr:colOff>0</xdr:colOff>
      <xdr:row>33</xdr:row>
      <xdr:rowOff>152400</xdr:rowOff>
    </xdr:to>
    <xdr:cxnSp macro="">
      <xdr:nvCxnSpPr>
        <xdr:cNvPr id="1094" name="直線矢印コネクタ 1093">
          <a:extLst>
            <a:ext uri="{FF2B5EF4-FFF2-40B4-BE49-F238E27FC236}">
              <a16:creationId xmlns:a16="http://schemas.microsoft.com/office/drawing/2014/main" id="{459B6251-2469-41FA-B1BB-1BE3603F8DEC}"/>
            </a:ext>
          </a:extLst>
        </xdr:cNvPr>
        <xdr:cNvCxnSpPr/>
      </xdr:nvCxnSpPr>
      <xdr:spPr>
        <a:xfrm>
          <a:off x="15849600" y="10315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BS100"/>
  <sheetViews>
    <sheetView showGridLines="0" tabSelected="1" zoomScale="85" zoomScaleNormal="85" zoomScaleSheetLayoutView="85" workbookViewId="0">
      <pane xSplit="9" topLeftCell="J1" activePane="topRight" state="frozen"/>
      <selection pane="topRight"/>
    </sheetView>
  </sheetViews>
  <sheetFormatPr defaultColWidth="9" defaultRowHeight="15.75" customHeight="1" x14ac:dyDescent="0.35"/>
  <cols>
    <col min="1" max="1" width="4.375" style="20" bestFit="1" customWidth="1"/>
    <col min="2" max="2" width="7.625" style="20" customWidth="1"/>
    <col min="3" max="3" width="26.25" style="20" customWidth="1"/>
    <col min="4" max="4" width="12.75" style="20" customWidth="1"/>
    <col min="5" max="5" width="7.625" style="20" customWidth="1"/>
    <col min="6" max="6" width="10.625" style="21" customWidth="1"/>
    <col min="7" max="7" width="10.625" style="20" customWidth="1"/>
    <col min="8" max="9" width="10.625" style="56" customWidth="1"/>
    <col min="10" max="71" width="5.625" style="38" customWidth="1"/>
  </cols>
  <sheetData>
    <row r="1" spans="1:71" s="14" customFormat="1" ht="33.75" customHeight="1" x14ac:dyDescent="0.65">
      <c r="A1" s="7"/>
      <c r="B1" s="7"/>
      <c r="C1" s="7"/>
      <c r="D1" s="7"/>
      <c r="E1" s="7"/>
      <c r="F1" s="33">
        <v>2021</v>
      </c>
      <c r="G1" s="7"/>
      <c r="H1" s="51"/>
      <c r="I1" s="51"/>
      <c r="J1" s="34">
        <v>2021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</row>
    <row r="2" spans="1:71" ht="24" customHeight="1" x14ac:dyDescent="0.35">
      <c r="A2" s="7"/>
      <c r="B2" s="7"/>
      <c r="C2" s="7"/>
      <c r="D2" s="48"/>
      <c r="E2" s="48"/>
      <c r="F2" s="26">
        <v>44440</v>
      </c>
      <c r="G2" s="27">
        <v>44500</v>
      </c>
      <c r="H2" s="52"/>
      <c r="I2" s="52"/>
      <c r="J2" s="35">
        <v>9</v>
      </c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>
        <v>10</v>
      </c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7"/>
    </row>
    <row r="3" spans="1:71" ht="21.95" customHeight="1" x14ac:dyDescent="0.35">
      <c r="A3" s="23"/>
      <c r="B3" s="4"/>
      <c r="C3" s="4"/>
      <c r="D3" s="4"/>
      <c r="E3" s="23"/>
      <c r="F3" s="23"/>
      <c r="G3" s="23"/>
      <c r="H3" s="53"/>
      <c r="I3" s="53"/>
      <c r="J3" s="43">
        <v>44440</v>
      </c>
      <c r="K3" s="43">
        <v>44441</v>
      </c>
      <c r="L3" s="43">
        <v>44442</v>
      </c>
      <c r="M3" s="43">
        <v>44443</v>
      </c>
      <c r="N3" s="43">
        <v>44444</v>
      </c>
      <c r="O3" s="43">
        <v>44445</v>
      </c>
      <c r="P3" s="43">
        <v>44446</v>
      </c>
      <c r="Q3" s="43">
        <v>44447</v>
      </c>
      <c r="R3" s="43">
        <v>44448</v>
      </c>
      <c r="S3" s="43">
        <v>44449</v>
      </c>
      <c r="T3" s="43">
        <v>44450</v>
      </c>
      <c r="U3" s="43">
        <v>44451</v>
      </c>
      <c r="V3" s="43">
        <v>44452</v>
      </c>
      <c r="W3" s="43">
        <v>44453</v>
      </c>
      <c r="X3" s="43">
        <v>44454</v>
      </c>
      <c r="Y3" s="43">
        <v>44455</v>
      </c>
      <c r="Z3" s="43">
        <v>44456</v>
      </c>
      <c r="AA3" s="43">
        <v>44457</v>
      </c>
      <c r="AB3" s="43">
        <v>44458</v>
      </c>
      <c r="AC3" s="43">
        <v>44459</v>
      </c>
      <c r="AD3" s="43">
        <v>44460</v>
      </c>
      <c r="AE3" s="43">
        <v>44461</v>
      </c>
      <c r="AF3" s="43">
        <v>44462</v>
      </c>
      <c r="AG3" s="43">
        <v>44463</v>
      </c>
      <c r="AH3" s="43">
        <v>44464</v>
      </c>
      <c r="AI3" s="43">
        <v>44465</v>
      </c>
      <c r="AJ3" s="43">
        <v>44466</v>
      </c>
      <c r="AK3" s="43">
        <v>44467</v>
      </c>
      <c r="AL3" s="43">
        <v>44468</v>
      </c>
      <c r="AM3" s="43">
        <v>44469</v>
      </c>
      <c r="AN3" s="43">
        <v>44470</v>
      </c>
      <c r="AO3" s="43">
        <v>44471</v>
      </c>
      <c r="AP3" s="43">
        <v>44472</v>
      </c>
      <c r="AQ3" s="43">
        <v>44473</v>
      </c>
      <c r="AR3" s="43">
        <v>44474</v>
      </c>
      <c r="AS3" s="43">
        <v>44475</v>
      </c>
      <c r="AT3" s="43">
        <v>44476</v>
      </c>
      <c r="AU3" s="43">
        <v>44477</v>
      </c>
      <c r="AV3" s="43">
        <v>44478</v>
      </c>
      <c r="AW3" s="43">
        <v>44479</v>
      </c>
      <c r="AX3" s="43">
        <v>44480</v>
      </c>
      <c r="AY3" s="43">
        <v>44481</v>
      </c>
      <c r="AZ3" s="43">
        <v>44482</v>
      </c>
      <c r="BA3" s="43">
        <v>44483</v>
      </c>
      <c r="BB3" s="43">
        <v>44484</v>
      </c>
      <c r="BC3" s="43">
        <v>44485</v>
      </c>
      <c r="BD3" s="43">
        <v>44486</v>
      </c>
      <c r="BE3" s="43">
        <v>44487</v>
      </c>
      <c r="BF3" s="43">
        <v>44488</v>
      </c>
      <c r="BG3" s="43">
        <v>44489</v>
      </c>
      <c r="BH3" s="43">
        <v>44490</v>
      </c>
      <c r="BI3" s="43">
        <v>44491</v>
      </c>
      <c r="BJ3" s="43">
        <v>44492</v>
      </c>
      <c r="BK3" s="43">
        <v>44493</v>
      </c>
      <c r="BL3" s="43">
        <v>44494</v>
      </c>
      <c r="BM3" s="43">
        <v>44495</v>
      </c>
      <c r="BN3" s="43">
        <v>44496</v>
      </c>
      <c r="BO3" s="43">
        <v>44497</v>
      </c>
      <c r="BP3" s="43">
        <v>44498</v>
      </c>
      <c r="BQ3" s="43">
        <v>44499</v>
      </c>
      <c r="BR3" s="43">
        <v>44500</v>
      </c>
    </row>
    <row r="4" spans="1:71" ht="24.75" customHeight="1" x14ac:dyDescent="0.15">
      <c r="A4" s="28" t="s">
        <v>2</v>
      </c>
      <c r="B4" s="29" t="s">
        <v>39</v>
      </c>
      <c r="C4" s="28" t="s">
        <v>1</v>
      </c>
      <c r="D4" s="30" t="s">
        <v>42</v>
      </c>
      <c r="E4" s="31" t="s">
        <v>3</v>
      </c>
      <c r="F4" s="32" t="s">
        <v>23</v>
      </c>
      <c r="G4" s="32" t="s">
        <v>24</v>
      </c>
      <c r="H4" s="32" t="s">
        <v>22</v>
      </c>
      <c r="I4" s="76" t="s">
        <v>25</v>
      </c>
      <c r="J4" s="39" t="s">
        <v>26</v>
      </c>
      <c r="K4" s="39" t="s">
        <v>27</v>
      </c>
      <c r="L4" s="39" t="s">
        <v>28</v>
      </c>
      <c r="M4" s="40" t="s">
        <v>29</v>
      </c>
      <c r="N4" s="41" t="s">
        <v>30</v>
      </c>
      <c r="O4" s="39" t="s">
        <v>31</v>
      </c>
      <c r="P4" s="39" t="s">
        <v>32</v>
      </c>
      <c r="Q4" s="39" t="s">
        <v>26</v>
      </c>
      <c r="R4" s="39" t="s">
        <v>27</v>
      </c>
      <c r="S4" s="39" t="s">
        <v>28</v>
      </c>
      <c r="T4" s="40" t="s">
        <v>29</v>
      </c>
      <c r="U4" s="41" t="s">
        <v>30</v>
      </c>
      <c r="V4" s="39" t="s">
        <v>31</v>
      </c>
      <c r="W4" s="39" t="s">
        <v>32</v>
      </c>
      <c r="X4" s="39" t="s">
        <v>26</v>
      </c>
      <c r="Y4" s="39" t="s">
        <v>27</v>
      </c>
      <c r="Z4" s="39" t="s">
        <v>28</v>
      </c>
      <c r="AA4" s="40" t="s">
        <v>29</v>
      </c>
      <c r="AB4" s="41" t="s">
        <v>30</v>
      </c>
      <c r="AC4" s="42" t="s">
        <v>31</v>
      </c>
      <c r="AD4" s="39" t="s">
        <v>32</v>
      </c>
      <c r="AE4" s="39" t="s">
        <v>26</v>
      </c>
      <c r="AF4" s="42" t="s">
        <v>27</v>
      </c>
      <c r="AG4" s="39" t="s">
        <v>28</v>
      </c>
      <c r="AH4" s="40" t="s">
        <v>29</v>
      </c>
      <c r="AI4" s="41" t="s">
        <v>30</v>
      </c>
      <c r="AJ4" s="39" t="s">
        <v>31</v>
      </c>
      <c r="AK4" s="39" t="s">
        <v>32</v>
      </c>
      <c r="AL4" s="39" t="s">
        <v>26</v>
      </c>
      <c r="AM4" s="39" t="s">
        <v>27</v>
      </c>
      <c r="AN4" s="39" t="s">
        <v>28</v>
      </c>
      <c r="AO4" s="40" t="s">
        <v>29</v>
      </c>
      <c r="AP4" s="41" t="s">
        <v>30</v>
      </c>
      <c r="AQ4" s="39" t="s">
        <v>31</v>
      </c>
      <c r="AR4" s="39" t="s">
        <v>32</v>
      </c>
      <c r="AS4" s="39" t="s">
        <v>26</v>
      </c>
      <c r="AT4" s="39" t="s">
        <v>27</v>
      </c>
      <c r="AU4" s="39" t="s">
        <v>28</v>
      </c>
      <c r="AV4" s="40" t="s">
        <v>29</v>
      </c>
      <c r="AW4" s="41" t="s">
        <v>30</v>
      </c>
      <c r="AX4" s="42" t="s">
        <v>31</v>
      </c>
      <c r="AY4" s="39" t="s">
        <v>32</v>
      </c>
      <c r="AZ4" s="39" t="s">
        <v>26</v>
      </c>
      <c r="BA4" s="39" t="s">
        <v>27</v>
      </c>
      <c r="BB4" s="39" t="s">
        <v>28</v>
      </c>
      <c r="BC4" s="40" t="s">
        <v>29</v>
      </c>
      <c r="BD4" s="41" t="s">
        <v>30</v>
      </c>
      <c r="BE4" s="39" t="s">
        <v>31</v>
      </c>
      <c r="BF4" s="39" t="s">
        <v>32</v>
      </c>
      <c r="BG4" s="39" t="s">
        <v>26</v>
      </c>
      <c r="BH4" s="39" t="s">
        <v>27</v>
      </c>
      <c r="BI4" s="39" t="s">
        <v>28</v>
      </c>
      <c r="BJ4" s="40" t="s">
        <v>29</v>
      </c>
      <c r="BK4" s="41" t="s">
        <v>30</v>
      </c>
      <c r="BL4" s="39" t="s">
        <v>31</v>
      </c>
      <c r="BM4" s="39" t="s">
        <v>32</v>
      </c>
      <c r="BN4" s="39" t="s">
        <v>26</v>
      </c>
      <c r="BO4" s="39" t="s">
        <v>27</v>
      </c>
      <c r="BP4" s="39" t="s">
        <v>28</v>
      </c>
      <c r="BQ4" s="40" t="s">
        <v>29</v>
      </c>
      <c r="BR4" s="41" t="s">
        <v>30</v>
      </c>
    </row>
    <row r="5" spans="1:71" ht="24" customHeight="1" x14ac:dyDescent="0.45">
      <c r="A5" s="82">
        <f t="shared" ref="A5:A9" si="0">ROW()-4</f>
        <v>1</v>
      </c>
      <c r="B5" s="47" t="s">
        <v>40</v>
      </c>
      <c r="C5" s="44" t="s">
        <v>34</v>
      </c>
      <c r="D5" s="83" t="str" cm="1">
        <f t="array" ref="D5">IFERROR(StatusK(I5)," 未完了")</f>
        <v>完了</v>
      </c>
      <c r="E5" s="59">
        <v>3</v>
      </c>
      <c r="F5" s="58">
        <v>44440</v>
      </c>
      <c r="G5" s="58">
        <v>44450</v>
      </c>
      <c r="H5" s="61">
        <v>44440</v>
      </c>
      <c r="I5" s="77">
        <v>44450</v>
      </c>
      <c r="J5" s="39"/>
      <c r="K5" s="39"/>
      <c r="L5" s="39"/>
      <c r="M5" s="42"/>
      <c r="N5" s="42"/>
      <c r="O5" s="39"/>
      <c r="P5" s="39"/>
      <c r="Q5" s="39"/>
      <c r="R5" s="39"/>
      <c r="S5" s="39"/>
      <c r="T5" s="42"/>
      <c r="U5" s="42"/>
      <c r="V5" s="39"/>
      <c r="W5" s="39"/>
      <c r="X5" s="39"/>
      <c r="Y5" s="39"/>
      <c r="Z5" s="39"/>
      <c r="AA5" s="42"/>
      <c r="AB5" s="42"/>
      <c r="AC5" s="42"/>
      <c r="AD5" s="39"/>
      <c r="AE5" s="39"/>
      <c r="AF5" s="42"/>
      <c r="AG5" s="39"/>
      <c r="AH5" s="42"/>
      <c r="AI5" s="42"/>
      <c r="AJ5" s="39"/>
      <c r="AK5" s="39"/>
      <c r="AL5" s="39"/>
      <c r="AM5" s="39"/>
      <c r="AN5" s="39"/>
      <c r="AO5" s="42"/>
      <c r="AP5" s="42"/>
      <c r="AQ5" s="39"/>
      <c r="AR5" s="39"/>
      <c r="AS5" s="39"/>
      <c r="AT5" s="39"/>
      <c r="AU5" s="39"/>
      <c r="AV5" s="42"/>
      <c r="AW5" s="42"/>
      <c r="AX5" s="42"/>
      <c r="AY5" s="39"/>
      <c r="AZ5" s="39"/>
      <c r="BA5" s="39"/>
      <c r="BB5" s="39"/>
      <c r="BC5" s="42"/>
      <c r="BD5" s="42"/>
      <c r="BE5" s="39"/>
      <c r="BF5" s="39"/>
      <c r="BG5" s="39"/>
      <c r="BH5" s="39"/>
      <c r="BI5" s="39"/>
      <c r="BJ5" s="42"/>
      <c r="BK5" s="42"/>
      <c r="BL5" s="39"/>
      <c r="BM5" s="39"/>
      <c r="BN5" s="39"/>
      <c r="BO5" s="39"/>
      <c r="BP5" s="39"/>
      <c r="BQ5" s="42"/>
      <c r="BR5" s="42"/>
      <c r="BS5" s="38" t="s">
        <v>33</v>
      </c>
    </row>
    <row r="6" spans="1:71" ht="24" customHeight="1" x14ac:dyDescent="0.45">
      <c r="A6" s="82">
        <f t="shared" si="0"/>
        <v>2</v>
      </c>
      <c r="B6" s="46" t="s">
        <v>40</v>
      </c>
      <c r="C6" s="45" t="s">
        <v>38</v>
      </c>
      <c r="D6" s="83" t="str" cm="1">
        <f t="array" ref="D6">IFERROR(StatusK(I6)," 未完了")</f>
        <v xml:space="preserve"> 未完了</v>
      </c>
      <c r="E6" s="59">
        <v>1</v>
      </c>
      <c r="F6" s="58">
        <v>44444</v>
      </c>
      <c r="G6" s="58">
        <v>44454</v>
      </c>
      <c r="H6" s="62">
        <v>44444</v>
      </c>
      <c r="I6" s="77"/>
      <c r="J6" s="39"/>
      <c r="K6" s="39"/>
      <c r="L6" s="39"/>
      <c r="M6" s="42"/>
      <c r="N6" s="42"/>
      <c r="O6" s="39"/>
      <c r="P6" s="39"/>
      <c r="Q6" s="39"/>
      <c r="R6" s="39"/>
      <c r="S6" s="39"/>
      <c r="T6" s="42"/>
      <c r="U6" s="42"/>
      <c r="V6" s="39"/>
      <c r="W6" s="39"/>
      <c r="X6" s="39"/>
      <c r="Y6" s="39"/>
      <c r="Z6" s="39"/>
      <c r="AA6" s="42"/>
      <c r="AB6" s="42"/>
      <c r="AC6" s="42"/>
      <c r="AD6" s="39"/>
      <c r="AE6" s="39"/>
      <c r="AF6" s="42"/>
      <c r="AG6" s="39"/>
      <c r="AH6" s="42"/>
      <c r="AI6" s="42"/>
      <c r="AJ6" s="39"/>
      <c r="AK6" s="39"/>
      <c r="AL6" s="39"/>
      <c r="AM6" s="39"/>
      <c r="AN6" s="39"/>
      <c r="AO6" s="42"/>
      <c r="AP6" s="42"/>
      <c r="AQ6" s="39"/>
      <c r="AR6" s="39"/>
      <c r="AS6" s="39"/>
      <c r="AT6" s="39"/>
      <c r="AU6" s="39"/>
      <c r="AV6" s="42"/>
      <c r="AW6" s="42"/>
      <c r="AX6" s="42"/>
      <c r="AY6" s="39"/>
      <c r="AZ6" s="39"/>
      <c r="BA6" s="39"/>
      <c r="BB6" s="39"/>
      <c r="BC6" s="42"/>
      <c r="BD6" s="42"/>
      <c r="BE6" s="39"/>
      <c r="BF6" s="39"/>
      <c r="BG6" s="39"/>
      <c r="BH6" s="39"/>
      <c r="BI6" s="39"/>
      <c r="BJ6" s="42"/>
      <c r="BK6" s="42"/>
      <c r="BL6" s="39"/>
      <c r="BM6" s="39"/>
      <c r="BN6" s="39"/>
      <c r="BO6" s="39"/>
      <c r="BP6" s="39"/>
      <c r="BQ6" s="42"/>
      <c r="BR6" s="42"/>
      <c r="BS6" s="38" t="s">
        <v>33</v>
      </c>
    </row>
    <row r="7" spans="1:71" ht="24" customHeight="1" x14ac:dyDescent="0.45">
      <c r="A7" s="82">
        <f t="shared" si="0"/>
        <v>3</v>
      </c>
      <c r="B7" s="46" t="s">
        <v>40</v>
      </c>
      <c r="C7" s="45" t="s">
        <v>36</v>
      </c>
      <c r="D7" s="83" t="str" cm="1">
        <f t="array" ref="D7">IFERROR(StatusK(I7)," 未完了")</f>
        <v xml:space="preserve"> 未完了</v>
      </c>
      <c r="E7" s="59">
        <v>2</v>
      </c>
      <c r="F7" s="58">
        <v>44448</v>
      </c>
      <c r="G7" s="58">
        <v>44450</v>
      </c>
      <c r="H7" s="62">
        <v>44448</v>
      </c>
      <c r="I7" s="77"/>
      <c r="J7" s="39"/>
      <c r="K7" s="39"/>
      <c r="L7" s="39"/>
      <c r="M7" s="42"/>
      <c r="N7" s="42"/>
      <c r="O7" s="39"/>
      <c r="P7" s="39"/>
      <c r="Q7" s="39"/>
      <c r="R7" s="39"/>
      <c r="S7" s="39"/>
      <c r="T7" s="42"/>
      <c r="U7" s="42"/>
      <c r="V7" s="39"/>
      <c r="W7" s="39"/>
      <c r="X7" s="39"/>
      <c r="Y7" s="39"/>
      <c r="Z7" s="39"/>
      <c r="AA7" s="42"/>
      <c r="AB7" s="42"/>
      <c r="AC7" s="42"/>
      <c r="AD7" s="39"/>
      <c r="AE7" s="39"/>
      <c r="AF7" s="42"/>
      <c r="AG7" s="39"/>
      <c r="AH7" s="42"/>
      <c r="AI7" s="42"/>
      <c r="AJ7" s="39"/>
      <c r="AK7" s="39"/>
      <c r="AL7" s="39"/>
      <c r="AM7" s="39"/>
      <c r="AN7" s="39"/>
      <c r="AO7" s="42"/>
      <c r="AP7" s="42"/>
      <c r="AQ7" s="39"/>
      <c r="AR7" s="39"/>
      <c r="AS7" s="39"/>
      <c r="AT7" s="39"/>
      <c r="AU7" s="39"/>
      <c r="AV7" s="42"/>
      <c r="AW7" s="42"/>
      <c r="AX7" s="42"/>
      <c r="AY7" s="39"/>
      <c r="AZ7" s="39"/>
      <c r="BA7" s="39"/>
      <c r="BB7" s="39"/>
      <c r="BC7" s="42"/>
      <c r="BD7" s="42"/>
      <c r="BE7" s="39"/>
      <c r="BF7" s="39"/>
      <c r="BG7" s="39"/>
      <c r="BH7" s="39"/>
      <c r="BI7" s="39"/>
      <c r="BJ7" s="42"/>
      <c r="BK7" s="42"/>
      <c r="BL7" s="39"/>
      <c r="BM7" s="39"/>
      <c r="BN7" s="39"/>
      <c r="BO7" s="39"/>
      <c r="BP7" s="39"/>
      <c r="BQ7" s="42"/>
      <c r="BR7" s="42"/>
      <c r="BS7" s="38" t="s">
        <v>33</v>
      </c>
    </row>
    <row r="8" spans="1:71" ht="24" customHeight="1" x14ac:dyDescent="0.45">
      <c r="A8" s="82">
        <f t="shared" si="0"/>
        <v>4</v>
      </c>
      <c r="B8" s="46" t="s">
        <v>40</v>
      </c>
      <c r="C8" s="45" t="s">
        <v>37</v>
      </c>
      <c r="D8" s="83" t="str" cm="1">
        <f t="array" ref="D8">IFERROR(StatusK(I8)," 未完了")</f>
        <v xml:space="preserve"> 未完了</v>
      </c>
      <c r="E8" s="59">
        <v>3</v>
      </c>
      <c r="F8" s="58">
        <v>44451</v>
      </c>
      <c r="G8" s="58">
        <v>44458</v>
      </c>
      <c r="H8" s="62">
        <v>44451</v>
      </c>
      <c r="I8" s="77"/>
      <c r="J8" s="39"/>
      <c r="K8" s="39"/>
      <c r="L8" s="39"/>
      <c r="M8" s="42"/>
      <c r="N8" s="42"/>
      <c r="O8" s="39"/>
      <c r="P8" s="39"/>
      <c r="Q8" s="39"/>
      <c r="R8" s="39"/>
      <c r="S8" s="39"/>
      <c r="T8" s="42"/>
      <c r="U8" s="42"/>
      <c r="V8" s="39"/>
      <c r="W8" s="39"/>
      <c r="X8" s="39"/>
      <c r="Y8" s="39"/>
      <c r="Z8" s="39"/>
      <c r="AA8" s="42"/>
      <c r="AB8" s="42"/>
      <c r="AC8" s="42"/>
      <c r="AD8" s="39"/>
      <c r="AE8" s="39"/>
      <c r="AF8" s="42"/>
      <c r="AG8" s="39"/>
      <c r="AH8" s="42"/>
      <c r="AI8" s="42"/>
      <c r="AJ8" s="39"/>
      <c r="AK8" s="39"/>
      <c r="AL8" s="39"/>
      <c r="AM8" s="39"/>
      <c r="AN8" s="39"/>
      <c r="AO8" s="42"/>
      <c r="AP8" s="42"/>
      <c r="AQ8" s="39"/>
      <c r="AR8" s="39"/>
      <c r="AS8" s="39"/>
      <c r="AT8" s="39"/>
      <c r="AU8" s="39"/>
      <c r="AV8" s="42"/>
      <c r="AW8" s="42"/>
      <c r="AX8" s="42"/>
      <c r="AY8" s="39"/>
      <c r="AZ8" s="39"/>
      <c r="BA8" s="39"/>
      <c r="BB8" s="39"/>
      <c r="BC8" s="42"/>
      <c r="BD8" s="42"/>
      <c r="BE8" s="39"/>
      <c r="BF8" s="39"/>
      <c r="BG8" s="39"/>
      <c r="BH8" s="39"/>
      <c r="BI8" s="39"/>
      <c r="BJ8" s="42"/>
      <c r="BK8" s="42"/>
      <c r="BL8" s="39"/>
      <c r="BM8" s="39"/>
      <c r="BN8" s="39"/>
      <c r="BO8" s="39"/>
      <c r="BP8" s="39"/>
      <c r="BQ8" s="42"/>
      <c r="BR8" s="42"/>
      <c r="BS8" s="38" t="s">
        <v>33</v>
      </c>
    </row>
    <row r="9" spans="1:71" ht="24" customHeight="1" x14ac:dyDescent="0.45">
      <c r="A9" s="82">
        <f t="shared" si="0"/>
        <v>5</v>
      </c>
      <c r="B9" s="46" t="s">
        <v>40</v>
      </c>
      <c r="C9" s="45" t="s">
        <v>35</v>
      </c>
      <c r="D9" s="83" t="str" cm="1">
        <f t="array" ref="D9">IFERROR(StatusK(I9)," 未完了")</f>
        <v xml:space="preserve"> 未完了</v>
      </c>
      <c r="E9" s="59">
        <v>2</v>
      </c>
      <c r="F9" s="58">
        <v>44454</v>
      </c>
      <c r="G9" s="58">
        <v>44461</v>
      </c>
      <c r="H9" s="62">
        <v>44454</v>
      </c>
      <c r="I9" s="77"/>
      <c r="J9" s="39"/>
      <c r="K9" s="39"/>
      <c r="L9" s="39"/>
      <c r="M9" s="42"/>
      <c r="N9" s="42"/>
      <c r="O9" s="39"/>
      <c r="P9" s="39"/>
      <c r="Q9" s="39"/>
      <c r="R9" s="39"/>
      <c r="S9" s="39"/>
      <c r="T9" s="42"/>
      <c r="U9" s="42"/>
      <c r="V9" s="39"/>
      <c r="W9" s="39"/>
      <c r="X9" s="39"/>
      <c r="Y9" s="39"/>
      <c r="Z9" s="39"/>
      <c r="AA9" s="42"/>
      <c r="AB9" s="42"/>
      <c r="AC9" s="42"/>
      <c r="AD9" s="39"/>
      <c r="AE9" s="39"/>
      <c r="AF9" s="42"/>
      <c r="AG9" s="39"/>
      <c r="AH9" s="42"/>
      <c r="AI9" s="42"/>
      <c r="AJ9" s="39"/>
      <c r="AK9" s="39"/>
      <c r="AL9" s="39"/>
      <c r="AM9" s="39"/>
      <c r="AN9" s="39"/>
      <c r="AO9" s="42"/>
      <c r="AP9" s="42"/>
      <c r="AQ9" s="39"/>
      <c r="AR9" s="39"/>
      <c r="AS9" s="39"/>
      <c r="AT9" s="39"/>
      <c r="AU9" s="39"/>
      <c r="AV9" s="42"/>
      <c r="AW9" s="42"/>
      <c r="AX9" s="42"/>
      <c r="AY9" s="39"/>
      <c r="AZ9" s="39"/>
      <c r="BA9" s="39"/>
      <c r="BB9" s="39"/>
      <c r="BC9" s="42"/>
      <c r="BD9" s="42"/>
      <c r="BE9" s="39"/>
      <c r="BF9" s="39"/>
      <c r="BG9" s="39"/>
      <c r="BH9" s="39"/>
      <c r="BI9" s="39"/>
      <c r="BJ9" s="42"/>
      <c r="BK9" s="42"/>
      <c r="BL9" s="39"/>
      <c r="BM9" s="39"/>
      <c r="BN9" s="39"/>
      <c r="BO9" s="39"/>
      <c r="BP9" s="39"/>
      <c r="BQ9" s="42"/>
      <c r="BR9" s="42"/>
      <c r="BS9" s="38" t="s">
        <v>33</v>
      </c>
    </row>
    <row r="10" spans="1:71" ht="24" customHeight="1" x14ac:dyDescent="0.45">
      <c r="A10" s="82">
        <f t="shared" ref="A10:A20" si="1">ROW()-4</f>
        <v>6</v>
      </c>
      <c r="B10" s="46" t="s">
        <v>40</v>
      </c>
      <c r="C10" s="60" t="s">
        <v>43</v>
      </c>
      <c r="D10" s="83" t="str" cm="1">
        <f t="array" ref="D10">IFERROR(StatusK(I10)," 未完了")</f>
        <v xml:space="preserve"> 未完了</v>
      </c>
      <c r="E10" s="59">
        <v>2</v>
      </c>
      <c r="F10" s="58">
        <v>44459</v>
      </c>
      <c r="G10" s="58">
        <v>44464</v>
      </c>
      <c r="H10" s="62">
        <v>44459</v>
      </c>
      <c r="I10" s="77"/>
      <c r="J10" s="39"/>
      <c r="K10" s="39"/>
      <c r="L10" s="39"/>
      <c r="M10" s="42"/>
      <c r="N10" s="42"/>
      <c r="O10" s="39"/>
      <c r="P10" s="39"/>
      <c r="Q10" s="39"/>
      <c r="R10" s="39"/>
      <c r="S10" s="39"/>
      <c r="T10" s="42"/>
      <c r="U10" s="42"/>
      <c r="V10" s="39"/>
      <c r="W10" s="39"/>
      <c r="X10" s="39"/>
      <c r="Y10" s="39"/>
      <c r="Z10" s="39"/>
      <c r="AA10" s="42"/>
      <c r="AB10" s="42"/>
      <c r="AC10" s="42"/>
      <c r="AD10" s="39"/>
      <c r="AE10" s="39"/>
      <c r="AF10" s="42"/>
      <c r="AG10" s="39"/>
      <c r="AH10" s="42"/>
      <c r="AI10" s="42"/>
      <c r="AJ10" s="39"/>
      <c r="AK10" s="39"/>
      <c r="AL10" s="39"/>
      <c r="AM10" s="39"/>
      <c r="AN10" s="39"/>
      <c r="AO10" s="42"/>
      <c r="AP10" s="42"/>
      <c r="AQ10" s="39"/>
      <c r="AR10" s="39"/>
      <c r="AS10" s="39"/>
      <c r="AT10" s="39"/>
      <c r="AU10" s="39"/>
      <c r="AV10" s="42"/>
      <c r="AW10" s="42"/>
      <c r="AX10" s="42"/>
      <c r="AY10" s="39"/>
      <c r="AZ10" s="39"/>
      <c r="BA10" s="39"/>
      <c r="BB10" s="39"/>
      <c r="BC10" s="42"/>
      <c r="BD10" s="42"/>
      <c r="BE10" s="39"/>
      <c r="BF10" s="39"/>
      <c r="BG10" s="39"/>
      <c r="BH10" s="39"/>
      <c r="BI10" s="39"/>
      <c r="BJ10" s="42"/>
      <c r="BK10" s="42"/>
      <c r="BL10" s="39"/>
      <c r="BM10" s="39"/>
      <c r="BN10" s="39"/>
      <c r="BO10" s="39"/>
      <c r="BP10" s="39"/>
      <c r="BQ10" s="42"/>
      <c r="BR10" s="42"/>
      <c r="BS10" s="38" t="s">
        <v>33</v>
      </c>
    </row>
    <row r="11" spans="1:71" ht="24" customHeight="1" x14ac:dyDescent="0.45">
      <c r="A11" s="82">
        <f>ROW()-4</f>
        <v>7</v>
      </c>
      <c r="B11" s="46" t="s">
        <v>40</v>
      </c>
      <c r="C11" s="60" t="s">
        <v>43</v>
      </c>
      <c r="D11" s="83" t="str" cm="1">
        <f t="array" ref="D11">IFERROR(StatusK(I11)," 未完了")</f>
        <v xml:space="preserve"> 未完了</v>
      </c>
      <c r="E11" s="59">
        <v>4</v>
      </c>
      <c r="F11" s="58">
        <v>44461</v>
      </c>
      <c r="G11" s="58">
        <v>44466</v>
      </c>
      <c r="H11" s="62">
        <v>44461</v>
      </c>
      <c r="I11" s="77"/>
      <c r="J11" s="39"/>
      <c r="K11" s="39"/>
      <c r="L11" s="39"/>
      <c r="M11" s="42"/>
      <c r="N11" s="42"/>
      <c r="O11" s="39"/>
      <c r="P11" s="39"/>
      <c r="Q11" s="39"/>
      <c r="R11" s="39"/>
      <c r="S11" s="39"/>
      <c r="T11" s="42"/>
      <c r="U11" s="42"/>
      <c r="V11" s="39"/>
      <c r="W11" s="39"/>
      <c r="X11" s="39"/>
      <c r="Y11" s="39"/>
      <c r="Z11" s="39"/>
      <c r="AA11" s="42"/>
      <c r="AB11" s="42"/>
      <c r="AC11" s="42"/>
      <c r="AD11" s="39"/>
      <c r="AE11" s="39"/>
      <c r="AF11" s="42"/>
      <c r="AG11" s="39"/>
      <c r="AH11" s="42"/>
      <c r="AI11" s="42"/>
      <c r="AJ11" s="39"/>
      <c r="AK11" s="39"/>
      <c r="AL11" s="39"/>
      <c r="AM11" s="39"/>
      <c r="AN11" s="39"/>
      <c r="AO11" s="42"/>
      <c r="AP11" s="42"/>
      <c r="AQ11" s="39"/>
      <c r="AR11" s="39"/>
      <c r="AS11" s="39"/>
      <c r="AT11" s="39"/>
      <c r="AU11" s="39"/>
      <c r="AV11" s="42"/>
      <c r="AW11" s="42"/>
      <c r="AX11" s="42"/>
      <c r="AY11" s="39"/>
      <c r="AZ11" s="39"/>
      <c r="BA11" s="39"/>
      <c r="BB11" s="39"/>
      <c r="BC11" s="42"/>
      <c r="BD11" s="42"/>
      <c r="BE11" s="39"/>
      <c r="BF11" s="39"/>
      <c r="BG11" s="39"/>
      <c r="BH11" s="39"/>
      <c r="BI11" s="39"/>
      <c r="BJ11" s="42"/>
      <c r="BK11" s="42"/>
      <c r="BL11" s="39"/>
      <c r="BM11" s="39"/>
      <c r="BN11" s="39"/>
      <c r="BO11" s="39"/>
      <c r="BP11" s="39"/>
      <c r="BQ11" s="42"/>
      <c r="BR11" s="42"/>
      <c r="BS11" s="38" t="s">
        <v>33</v>
      </c>
    </row>
    <row r="12" spans="1:71" ht="24" customHeight="1" x14ac:dyDescent="0.45">
      <c r="A12" s="82">
        <f>ROW()-4</f>
        <v>8</v>
      </c>
      <c r="B12" s="46" t="s">
        <v>40</v>
      </c>
      <c r="C12" s="60" t="s">
        <v>43</v>
      </c>
      <c r="D12" s="83" t="str" cm="1">
        <f t="array" ref="D12">IFERROR(StatusK(I12)," 未完了")</f>
        <v xml:space="preserve"> 未完了</v>
      </c>
      <c r="E12" s="59">
        <v>2</v>
      </c>
      <c r="F12" s="58">
        <v>44466</v>
      </c>
      <c r="G12" s="58">
        <v>44467</v>
      </c>
      <c r="H12" s="62">
        <v>44466</v>
      </c>
      <c r="I12" s="77"/>
      <c r="J12" s="39"/>
      <c r="K12" s="39"/>
      <c r="L12" s="39"/>
      <c r="M12" s="42"/>
      <c r="N12" s="42"/>
      <c r="O12" s="39"/>
      <c r="P12" s="39"/>
      <c r="Q12" s="39"/>
      <c r="R12" s="39"/>
      <c r="S12" s="39"/>
      <c r="T12" s="42"/>
      <c r="U12" s="42"/>
      <c r="V12" s="39"/>
      <c r="W12" s="39"/>
      <c r="X12" s="39"/>
      <c r="Y12" s="39"/>
      <c r="Z12" s="39"/>
      <c r="AA12" s="42"/>
      <c r="AB12" s="42"/>
      <c r="AC12" s="42"/>
      <c r="AD12" s="39"/>
      <c r="AE12" s="39"/>
      <c r="AF12" s="42"/>
      <c r="AG12" s="39"/>
      <c r="AH12" s="42"/>
      <c r="AI12" s="42"/>
      <c r="AJ12" s="39"/>
      <c r="AK12" s="39"/>
      <c r="AL12" s="39"/>
      <c r="AM12" s="39"/>
      <c r="AN12" s="39"/>
      <c r="AO12" s="42"/>
      <c r="AP12" s="42"/>
      <c r="AQ12" s="39"/>
      <c r="AR12" s="39"/>
      <c r="AS12" s="39"/>
      <c r="AT12" s="39"/>
      <c r="AU12" s="39"/>
      <c r="AV12" s="42"/>
      <c r="AW12" s="42"/>
      <c r="AX12" s="42"/>
      <c r="AY12" s="39"/>
      <c r="AZ12" s="39"/>
      <c r="BA12" s="39"/>
      <c r="BB12" s="39"/>
      <c r="BC12" s="42"/>
      <c r="BD12" s="42"/>
      <c r="BE12" s="39"/>
      <c r="BF12" s="39"/>
      <c r="BG12" s="39"/>
      <c r="BH12" s="39"/>
      <c r="BI12" s="39"/>
      <c r="BJ12" s="42"/>
      <c r="BK12" s="42"/>
      <c r="BL12" s="39"/>
      <c r="BM12" s="39"/>
      <c r="BN12" s="39"/>
      <c r="BO12" s="39"/>
      <c r="BP12" s="39"/>
      <c r="BQ12" s="42"/>
      <c r="BR12" s="42"/>
      <c r="BS12" s="38" t="s">
        <v>33</v>
      </c>
    </row>
    <row r="13" spans="1:71" ht="24" customHeight="1" x14ac:dyDescent="0.45">
      <c r="A13" s="82">
        <f>ROW()-4</f>
        <v>9</v>
      </c>
      <c r="B13" s="46" t="s">
        <v>40</v>
      </c>
      <c r="C13" s="60" t="s">
        <v>43</v>
      </c>
      <c r="D13" s="83" t="str" cm="1">
        <f t="array" ref="D13">IFERROR(StatusK(I13)," 未完了")</f>
        <v xml:space="preserve"> 未完了</v>
      </c>
      <c r="E13" s="59">
        <v>3</v>
      </c>
      <c r="F13" s="58">
        <v>44459</v>
      </c>
      <c r="G13" s="58">
        <v>44466</v>
      </c>
      <c r="H13" s="62">
        <v>44459</v>
      </c>
      <c r="I13" s="77"/>
      <c r="J13" s="39"/>
      <c r="K13" s="39"/>
      <c r="L13" s="39"/>
      <c r="M13" s="42"/>
      <c r="N13" s="42"/>
      <c r="O13" s="39"/>
      <c r="P13" s="39"/>
      <c r="Q13" s="39"/>
      <c r="R13" s="39"/>
      <c r="S13" s="39"/>
      <c r="T13" s="42"/>
      <c r="U13" s="42"/>
      <c r="V13" s="39"/>
      <c r="W13" s="39"/>
      <c r="X13" s="39"/>
      <c r="Y13" s="39"/>
      <c r="Z13" s="39"/>
      <c r="AA13" s="42"/>
      <c r="AB13" s="42"/>
      <c r="AC13" s="42"/>
      <c r="AD13" s="39"/>
      <c r="AE13" s="39"/>
      <c r="AF13" s="42"/>
      <c r="AG13" s="39"/>
      <c r="AH13" s="42"/>
      <c r="AI13" s="42"/>
      <c r="AJ13" s="39"/>
      <c r="AK13" s="39"/>
      <c r="AL13" s="39"/>
      <c r="AM13" s="39"/>
      <c r="AN13" s="39"/>
      <c r="AO13" s="42"/>
      <c r="AP13" s="42"/>
      <c r="AQ13" s="39"/>
      <c r="AR13" s="39"/>
      <c r="AS13" s="39"/>
      <c r="AT13" s="39"/>
      <c r="AU13" s="39"/>
      <c r="AV13" s="42"/>
      <c r="AW13" s="42"/>
      <c r="AX13" s="42"/>
      <c r="AY13" s="39"/>
      <c r="AZ13" s="39"/>
      <c r="BA13" s="39"/>
      <c r="BB13" s="39"/>
      <c r="BC13" s="42"/>
      <c r="BD13" s="42"/>
      <c r="BE13" s="39"/>
      <c r="BF13" s="39"/>
      <c r="BG13" s="39"/>
      <c r="BH13" s="39"/>
      <c r="BI13" s="39"/>
      <c r="BJ13" s="42"/>
      <c r="BK13" s="42"/>
      <c r="BL13" s="39"/>
      <c r="BM13" s="39"/>
      <c r="BN13" s="39"/>
      <c r="BO13" s="39"/>
      <c r="BP13" s="39"/>
      <c r="BQ13" s="42"/>
      <c r="BR13" s="42"/>
      <c r="BS13" s="38" t="s">
        <v>33</v>
      </c>
    </row>
    <row r="14" spans="1:71" ht="24" customHeight="1" x14ac:dyDescent="0.45">
      <c r="A14" s="82">
        <f>ROW()-4</f>
        <v>10</v>
      </c>
      <c r="B14" s="46" t="s">
        <v>40</v>
      </c>
      <c r="C14" s="60" t="s">
        <v>21</v>
      </c>
      <c r="D14" s="83" t="str" cm="1">
        <f t="array" ref="D14">IFERROR(StatusK(I14)," 未完了")</f>
        <v xml:space="preserve"> 未完了</v>
      </c>
      <c r="E14" s="59">
        <v>2</v>
      </c>
      <c r="F14" s="58">
        <v>44459</v>
      </c>
      <c r="G14" s="58">
        <v>44466</v>
      </c>
      <c r="H14" s="62">
        <v>44459</v>
      </c>
      <c r="I14" s="77"/>
      <c r="J14" s="39"/>
      <c r="K14" s="39"/>
      <c r="L14" s="39"/>
      <c r="M14" s="42"/>
      <c r="N14" s="42"/>
      <c r="O14" s="39"/>
      <c r="P14" s="39"/>
      <c r="Q14" s="39"/>
      <c r="R14" s="39"/>
      <c r="S14" s="39"/>
      <c r="T14" s="42"/>
      <c r="U14" s="42"/>
      <c r="V14" s="39"/>
      <c r="W14" s="39"/>
      <c r="X14" s="39"/>
      <c r="Y14" s="39"/>
      <c r="Z14" s="39"/>
      <c r="AA14" s="42"/>
      <c r="AB14" s="42"/>
      <c r="AC14" s="42"/>
      <c r="AD14" s="39"/>
      <c r="AE14" s="39"/>
      <c r="AF14" s="42"/>
      <c r="AG14" s="39"/>
      <c r="AH14" s="42"/>
      <c r="AI14" s="42"/>
      <c r="AJ14" s="39"/>
      <c r="AK14" s="39"/>
      <c r="AL14" s="39"/>
      <c r="AM14" s="39"/>
      <c r="AN14" s="39"/>
      <c r="AO14" s="42"/>
      <c r="AP14" s="42"/>
      <c r="AQ14" s="39"/>
      <c r="AR14" s="39"/>
      <c r="AS14" s="39"/>
      <c r="AT14" s="39"/>
      <c r="AU14" s="39"/>
      <c r="AV14" s="42"/>
      <c r="AW14" s="42"/>
      <c r="AX14" s="42"/>
      <c r="AY14" s="39"/>
      <c r="AZ14" s="39"/>
      <c r="BA14" s="39"/>
      <c r="BB14" s="39"/>
      <c r="BC14" s="42"/>
      <c r="BD14" s="42"/>
      <c r="BE14" s="39"/>
      <c r="BF14" s="39"/>
      <c r="BG14" s="39"/>
      <c r="BH14" s="39"/>
      <c r="BI14" s="39"/>
      <c r="BJ14" s="42"/>
      <c r="BK14" s="42"/>
      <c r="BL14" s="39"/>
      <c r="BM14" s="39"/>
      <c r="BN14" s="39"/>
      <c r="BO14" s="39"/>
      <c r="BP14" s="39"/>
      <c r="BQ14" s="42"/>
      <c r="BR14" s="42"/>
      <c r="BS14" s="38" t="s">
        <v>33</v>
      </c>
    </row>
    <row r="15" spans="1:71" ht="24" customHeight="1" x14ac:dyDescent="0.45">
      <c r="A15" s="82">
        <f>ROW()-4</f>
        <v>11</v>
      </c>
      <c r="B15" s="46" t="s">
        <v>40</v>
      </c>
      <c r="C15" s="60" t="s">
        <v>21</v>
      </c>
      <c r="D15" s="83" t="str" cm="1">
        <f t="array" ref="D15">IFERROR(StatusK(I15)," 未完了")</f>
        <v xml:space="preserve"> 未完了</v>
      </c>
      <c r="E15" s="59">
        <v>2</v>
      </c>
      <c r="F15" s="58">
        <v>44459</v>
      </c>
      <c r="G15" s="58">
        <v>44466</v>
      </c>
      <c r="H15" s="62">
        <v>44459</v>
      </c>
      <c r="I15" s="77"/>
      <c r="J15" s="39"/>
      <c r="K15" s="39"/>
      <c r="L15" s="39"/>
      <c r="M15" s="42"/>
      <c r="N15" s="42"/>
      <c r="O15" s="39"/>
      <c r="P15" s="39"/>
      <c r="Q15" s="39"/>
      <c r="R15" s="39"/>
      <c r="S15" s="39"/>
      <c r="T15" s="42"/>
      <c r="U15" s="42"/>
      <c r="V15" s="39"/>
      <c r="W15" s="39"/>
      <c r="X15" s="39"/>
      <c r="Y15" s="39"/>
      <c r="Z15" s="39"/>
      <c r="AA15" s="42"/>
      <c r="AB15" s="42"/>
      <c r="AC15" s="42"/>
      <c r="AD15" s="39"/>
      <c r="AE15" s="39"/>
      <c r="AF15" s="42"/>
      <c r="AG15" s="39"/>
      <c r="AH15" s="42"/>
      <c r="AI15" s="42"/>
      <c r="AJ15" s="39"/>
      <c r="AK15" s="39"/>
      <c r="AL15" s="39"/>
      <c r="AM15" s="39"/>
      <c r="AN15" s="39"/>
      <c r="AO15" s="42"/>
      <c r="AP15" s="42"/>
      <c r="AQ15" s="39"/>
      <c r="AR15" s="39"/>
      <c r="AS15" s="39"/>
      <c r="AT15" s="39"/>
      <c r="AU15" s="39"/>
      <c r="AV15" s="42"/>
      <c r="AW15" s="42"/>
      <c r="AX15" s="42"/>
      <c r="AY15" s="39"/>
      <c r="AZ15" s="39"/>
      <c r="BA15" s="39"/>
      <c r="BB15" s="39"/>
      <c r="BC15" s="42"/>
      <c r="BD15" s="42"/>
      <c r="BE15" s="39"/>
      <c r="BF15" s="39"/>
      <c r="BG15" s="39"/>
      <c r="BH15" s="39"/>
      <c r="BI15" s="39"/>
      <c r="BJ15" s="42"/>
      <c r="BK15" s="42"/>
      <c r="BL15" s="39"/>
      <c r="BM15" s="39"/>
      <c r="BN15" s="39"/>
      <c r="BO15" s="39"/>
      <c r="BP15" s="39"/>
      <c r="BQ15" s="42"/>
      <c r="BR15" s="42"/>
      <c r="BS15" s="38" t="s">
        <v>33</v>
      </c>
    </row>
    <row r="16" spans="1:71" ht="24" customHeight="1" x14ac:dyDescent="0.45">
      <c r="A16" s="82">
        <f t="shared" si="1"/>
        <v>12</v>
      </c>
      <c r="B16" s="46" t="s">
        <v>41</v>
      </c>
      <c r="C16" s="60" t="s">
        <v>21</v>
      </c>
      <c r="D16" s="83" t="str" cm="1">
        <f t="array" ref="D16">IFERROR(StatusK(I16)," 未完了")</f>
        <v xml:space="preserve"> 未完了</v>
      </c>
      <c r="E16" s="59">
        <v>1</v>
      </c>
      <c r="F16" s="58">
        <v>44459</v>
      </c>
      <c r="G16" s="58">
        <v>44466</v>
      </c>
      <c r="H16" s="58">
        <v>44459</v>
      </c>
      <c r="I16" s="77"/>
      <c r="J16" s="39"/>
      <c r="K16" s="39"/>
      <c r="L16" s="39"/>
      <c r="M16" s="42"/>
      <c r="N16" s="42"/>
      <c r="O16" s="39"/>
      <c r="P16" s="39"/>
      <c r="Q16" s="39"/>
      <c r="R16" s="39"/>
      <c r="S16" s="39"/>
      <c r="T16" s="42"/>
      <c r="U16" s="42"/>
      <c r="V16" s="39"/>
      <c r="W16" s="39"/>
      <c r="X16" s="39"/>
      <c r="Y16" s="39"/>
      <c r="Z16" s="39"/>
      <c r="AA16" s="42"/>
      <c r="AB16" s="42"/>
      <c r="AC16" s="42"/>
      <c r="AD16" s="39"/>
      <c r="AE16" s="39"/>
      <c r="AF16" s="42"/>
      <c r="AG16" s="39"/>
      <c r="AH16" s="42"/>
      <c r="AI16" s="42"/>
      <c r="AJ16" s="39"/>
      <c r="AK16" s="39"/>
      <c r="AL16" s="39"/>
      <c r="AM16" s="39"/>
      <c r="AN16" s="39"/>
      <c r="AO16" s="42"/>
      <c r="AP16" s="42"/>
      <c r="AQ16" s="39"/>
      <c r="AR16" s="39"/>
      <c r="AS16" s="39"/>
      <c r="AT16" s="39"/>
      <c r="AU16" s="39"/>
      <c r="AV16" s="42"/>
      <c r="AW16" s="42"/>
      <c r="AX16" s="42"/>
      <c r="AY16" s="39"/>
      <c r="AZ16" s="39"/>
      <c r="BA16" s="39"/>
      <c r="BB16" s="39"/>
      <c r="BC16" s="42"/>
      <c r="BD16" s="42"/>
      <c r="BE16" s="39"/>
      <c r="BF16" s="39"/>
      <c r="BG16" s="39"/>
      <c r="BH16" s="39"/>
      <c r="BI16" s="39"/>
      <c r="BJ16" s="42"/>
      <c r="BK16" s="42"/>
      <c r="BL16" s="39"/>
      <c r="BM16" s="39"/>
      <c r="BN16" s="39"/>
      <c r="BO16" s="39"/>
      <c r="BP16" s="39"/>
      <c r="BQ16" s="42"/>
      <c r="BR16" s="42"/>
      <c r="BS16" s="38" t="s">
        <v>33</v>
      </c>
    </row>
    <row r="17" spans="1:71" ht="24" customHeight="1" x14ac:dyDescent="0.45">
      <c r="A17" s="82">
        <f>ROW()-4</f>
        <v>13</v>
      </c>
      <c r="B17" s="46" t="s">
        <v>41</v>
      </c>
      <c r="C17" s="60" t="s">
        <v>43</v>
      </c>
      <c r="D17" s="83" t="str" cm="1">
        <f t="array" ref="D17">IFERROR(StatusK(I17)," 未完了")</f>
        <v xml:space="preserve"> 未完了</v>
      </c>
      <c r="E17" s="59">
        <v>1</v>
      </c>
      <c r="F17" s="58">
        <v>44459</v>
      </c>
      <c r="G17" s="58">
        <v>44466</v>
      </c>
      <c r="H17" s="58">
        <v>44459</v>
      </c>
      <c r="I17" s="77"/>
      <c r="J17" s="39"/>
      <c r="K17" s="39"/>
      <c r="L17" s="39"/>
      <c r="M17" s="42"/>
      <c r="N17" s="42"/>
      <c r="O17" s="39"/>
      <c r="P17" s="39"/>
      <c r="Q17" s="39"/>
      <c r="R17" s="39"/>
      <c r="S17" s="39"/>
      <c r="T17" s="42"/>
      <c r="U17" s="42"/>
      <c r="V17" s="39"/>
      <c r="W17" s="39"/>
      <c r="X17" s="39"/>
      <c r="Y17" s="39"/>
      <c r="Z17" s="39"/>
      <c r="AA17" s="42"/>
      <c r="AB17" s="42"/>
      <c r="AC17" s="42"/>
      <c r="AD17" s="39"/>
      <c r="AE17" s="39"/>
      <c r="AF17" s="42"/>
      <c r="AG17" s="39"/>
      <c r="AH17" s="42"/>
      <c r="AI17" s="42"/>
      <c r="AJ17" s="39"/>
      <c r="AK17" s="39"/>
      <c r="AL17" s="39"/>
      <c r="AM17" s="39"/>
      <c r="AN17" s="39"/>
      <c r="AO17" s="42"/>
      <c r="AP17" s="42"/>
      <c r="AQ17" s="39"/>
      <c r="AR17" s="39"/>
      <c r="AS17" s="39"/>
      <c r="AT17" s="39"/>
      <c r="AU17" s="39"/>
      <c r="AV17" s="42"/>
      <c r="AW17" s="42"/>
      <c r="AX17" s="42"/>
      <c r="AY17" s="39"/>
      <c r="AZ17" s="39"/>
      <c r="BA17" s="39"/>
      <c r="BB17" s="39"/>
      <c r="BC17" s="42"/>
      <c r="BD17" s="42"/>
      <c r="BE17" s="39"/>
      <c r="BF17" s="39"/>
      <c r="BG17" s="39"/>
      <c r="BH17" s="39"/>
      <c r="BI17" s="39"/>
      <c r="BJ17" s="42"/>
      <c r="BK17" s="42"/>
      <c r="BL17" s="39"/>
      <c r="BM17" s="39"/>
      <c r="BN17" s="39"/>
      <c r="BO17" s="39"/>
      <c r="BP17" s="39"/>
      <c r="BQ17" s="42"/>
      <c r="BR17" s="42"/>
      <c r="BS17" s="38" t="s">
        <v>33</v>
      </c>
    </row>
    <row r="18" spans="1:71" ht="24" customHeight="1" x14ac:dyDescent="0.45">
      <c r="A18" s="82">
        <f>ROW()-4</f>
        <v>14</v>
      </c>
      <c r="B18" s="46" t="s">
        <v>41</v>
      </c>
      <c r="C18" s="60" t="s">
        <v>21</v>
      </c>
      <c r="D18" s="83" t="str" cm="1">
        <f t="array" ref="D18">IFERROR(StatusK(I18)," 未完了")</f>
        <v xml:space="preserve"> 未完了</v>
      </c>
      <c r="E18" s="59">
        <v>1</v>
      </c>
      <c r="F18" s="58">
        <v>44459</v>
      </c>
      <c r="G18" s="58">
        <v>44466</v>
      </c>
      <c r="H18" s="58">
        <v>44459</v>
      </c>
      <c r="I18" s="77"/>
      <c r="J18" s="39"/>
      <c r="K18" s="39"/>
      <c r="L18" s="39"/>
      <c r="M18" s="42"/>
      <c r="N18" s="42"/>
      <c r="O18" s="39"/>
      <c r="P18" s="39"/>
      <c r="Q18" s="39"/>
      <c r="R18" s="39"/>
      <c r="S18" s="39"/>
      <c r="T18" s="42"/>
      <c r="U18" s="42"/>
      <c r="V18" s="39"/>
      <c r="W18" s="39"/>
      <c r="X18" s="39"/>
      <c r="Y18" s="39"/>
      <c r="Z18" s="39"/>
      <c r="AA18" s="42"/>
      <c r="AB18" s="42"/>
      <c r="AC18" s="42"/>
      <c r="AD18" s="39"/>
      <c r="AE18" s="39"/>
      <c r="AF18" s="42"/>
      <c r="AG18" s="39"/>
      <c r="AH18" s="42"/>
      <c r="AI18" s="42"/>
      <c r="AJ18" s="39"/>
      <c r="AK18" s="39"/>
      <c r="AL18" s="39"/>
      <c r="AM18" s="39"/>
      <c r="AN18" s="39"/>
      <c r="AO18" s="42"/>
      <c r="AP18" s="42"/>
      <c r="AQ18" s="39"/>
      <c r="AR18" s="39"/>
      <c r="AS18" s="39"/>
      <c r="AT18" s="39"/>
      <c r="AU18" s="39"/>
      <c r="AV18" s="42"/>
      <c r="AW18" s="42"/>
      <c r="AX18" s="42"/>
      <c r="AY18" s="39"/>
      <c r="AZ18" s="39"/>
      <c r="BA18" s="39"/>
      <c r="BB18" s="39"/>
      <c r="BC18" s="42"/>
      <c r="BD18" s="42"/>
      <c r="BE18" s="39"/>
      <c r="BF18" s="39"/>
      <c r="BG18" s="39"/>
      <c r="BH18" s="39"/>
      <c r="BI18" s="39"/>
      <c r="BJ18" s="42"/>
      <c r="BK18" s="42"/>
      <c r="BL18" s="39"/>
      <c r="BM18" s="39"/>
      <c r="BN18" s="39"/>
      <c r="BO18" s="39"/>
      <c r="BP18" s="39"/>
      <c r="BQ18" s="42"/>
      <c r="BR18" s="42"/>
      <c r="BS18" s="38" t="s">
        <v>33</v>
      </c>
    </row>
    <row r="19" spans="1:71" ht="24" customHeight="1" x14ac:dyDescent="0.45">
      <c r="A19" s="82">
        <f>ROW()-4</f>
        <v>15</v>
      </c>
      <c r="B19" s="46" t="s">
        <v>41</v>
      </c>
      <c r="C19" s="60" t="s">
        <v>43</v>
      </c>
      <c r="D19" s="83" t="str" cm="1">
        <f t="array" ref="D19">IFERROR(StatusK(I19)," 未完了")</f>
        <v xml:space="preserve"> 未完了</v>
      </c>
      <c r="E19" s="59">
        <v>1</v>
      </c>
      <c r="F19" s="58">
        <v>44459</v>
      </c>
      <c r="G19" s="58">
        <v>44466</v>
      </c>
      <c r="H19" s="58">
        <v>44459</v>
      </c>
      <c r="I19" s="77"/>
      <c r="J19" s="39"/>
      <c r="K19" s="39"/>
      <c r="L19" s="39"/>
      <c r="M19" s="42"/>
      <c r="N19" s="42"/>
      <c r="O19" s="39"/>
      <c r="P19" s="39"/>
      <c r="Q19" s="39"/>
      <c r="R19" s="39"/>
      <c r="S19" s="39"/>
      <c r="T19" s="42"/>
      <c r="U19" s="42"/>
      <c r="V19" s="39"/>
      <c r="W19" s="39"/>
      <c r="X19" s="39"/>
      <c r="Y19" s="39"/>
      <c r="Z19" s="39"/>
      <c r="AA19" s="42"/>
      <c r="AB19" s="42"/>
      <c r="AC19" s="42"/>
      <c r="AD19" s="39"/>
      <c r="AE19" s="39"/>
      <c r="AF19" s="42"/>
      <c r="AG19" s="39"/>
      <c r="AH19" s="42"/>
      <c r="AI19" s="42"/>
      <c r="AJ19" s="39"/>
      <c r="AK19" s="39"/>
      <c r="AL19" s="39"/>
      <c r="AM19" s="39"/>
      <c r="AN19" s="39"/>
      <c r="AO19" s="42"/>
      <c r="AP19" s="42"/>
      <c r="AQ19" s="39"/>
      <c r="AR19" s="39"/>
      <c r="AS19" s="39"/>
      <c r="AT19" s="39"/>
      <c r="AU19" s="39"/>
      <c r="AV19" s="42"/>
      <c r="AW19" s="42"/>
      <c r="AX19" s="42"/>
      <c r="AY19" s="39"/>
      <c r="AZ19" s="39"/>
      <c r="BA19" s="39"/>
      <c r="BB19" s="39"/>
      <c r="BC19" s="42"/>
      <c r="BD19" s="42"/>
      <c r="BE19" s="39"/>
      <c r="BF19" s="39"/>
      <c r="BG19" s="39"/>
      <c r="BH19" s="39"/>
      <c r="BI19" s="39"/>
      <c r="BJ19" s="42"/>
      <c r="BK19" s="42"/>
      <c r="BL19" s="39"/>
      <c r="BM19" s="39"/>
      <c r="BN19" s="39"/>
      <c r="BO19" s="39"/>
      <c r="BP19" s="39"/>
      <c r="BQ19" s="42"/>
      <c r="BR19" s="42"/>
      <c r="BS19" s="38" t="s">
        <v>33</v>
      </c>
    </row>
    <row r="20" spans="1:71" ht="24" customHeight="1" x14ac:dyDescent="0.45">
      <c r="A20" s="82">
        <f t="shared" si="1"/>
        <v>16</v>
      </c>
      <c r="B20" s="46" t="s">
        <v>41</v>
      </c>
      <c r="C20" s="60" t="s">
        <v>21</v>
      </c>
      <c r="D20" s="83" t="str" cm="1">
        <f t="array" ref="D20">IFERROR(StatusK(I20)," 未完了")</f>
        <v xml:space="preserve"> 未完了</v>
      </c>
      <c r="E20" s="59">
        <v>1</v>
      </c>
      <c r="F20" s="58">
        <v>44459</v>
      </c>
      <c r="G20" s="58">
        <v>44466</v>
      </c>
      <c r="H20" s="58">
        <v>44459</v>
      </c>
      <c r="I20" s="77"/>
      <c r="J20" s="39"/>
      <c r="K20" s="39"/>
      <c r="L20" s="39"/>
      <c r="M20" s="42"/>
      <c r="N20" s="42"/>
      <c r="O20" s="39"/>
      <c r="P20" s="39"/>
      <c r="Q20" s="39"/>
      <c r="R20" s="39"/>
      <c r="S20" s="39"/>
      <c r="T20" s="42"/>
      <c r="U20" s="42"/>
      <c r="V20" s="39"/>
      <c r="W20" s="39"/>
      <c r="X20" s="39"/>
      <c r="Y20" s="39"/>
      <c r="Z20" s="39"/>
      <c r="AA20" s="42"/>
      <c r="AB20" s="42"/>
      <c r="AC20" s="42"/>
      <c r="AD20" s="39"/>
      <c r="AE20" s="39"/>
      <c r="AF20" s="42"/>
      <c r="AG20" s="39"/>
      <c r="AH20" s="42"/>
      <c r="AI20" s="42"/>
      <c r="AJ20" s="39"/>
      <c r="AK20" s="39"/>
      <c r="AL20" s="39"/>
      <c r="AM20" s="39"/>
      <c r="AN20" s="39"/>
      <c r="AO20" s="42"/>
      <c r="AP20" s="42"/>
      <c r="AQ20" s="39"/>
      <c r="AR20" s="39"/>
      <c r="AS20" s="39"/>
      <c r="AT20" s="39"/>
      <c r="AU20" s="39"/>
      <c r="AV20" s="42"/>
      <c r="AW20" s="42"/>
      <c r="AX20" s="42"/>
      <c r="AY20" s="39"/>
      <c r="AZ20" s="39"/>
      <c r="BA20" s="39"/>
      <c r="BB20" s="39"/>
      <c r="BC20" s="42"/>
      <c r="BD20" s="42"/>
      <c r="BE20" s="39"/>
      <c r="BF20" s="39"/>
      <c r="BG20" s="39"/>
      <c r="BH20" s="39"/>
      <c r="BI20" s="39"/>
      <c r="BJ20" s="42"/>
      <c r="BK20" s="42"/>
      <c r="BL20" s="39"/>
      <c r="BM20" s="39"/>
      <c r="BN20" s="39"/>
      <c r="BO20" s="39"/>
      <c r="BP20" s="39"/>
      <c r="BQ20" s="42"/>
      <c r="BR20" s="42"/>
      <c r="BS20" s="38" t="s">
        <v>33</v>
      </c>
    </row>
    <row r="21" spans="1:71" ht="24" customHeight="1" x14ac:dyDescent="0.45">
      <c r="A21" s="82">
        <f t="shared" ref="A21:A34" si="2">ROW()-4</f>
        <v>17</v>
      </c>
      <c r="B21" s="46" t="s">
        <v>41</v>
      </c>
      <c r="C21" s="60" t="s">
        <v>43</v>
      </c>
      <c r="D21" s="83" t="str" cm="1">
        <f t="array" ref="D21">IFERROR(StatusK(I21)," 未完了")</f>
        <v xml:space="preserve"> 未完了</v>
      </c>
      <c r="E21" s="59">
        <v>1</v>
      </c>
      <c r="F21" s="58">
        <v>44459</v>
      </c>
      <c r="G21" s="58">
        <v>44466</v>
      </c>
      <c r="H21" s="58">
        <v>44459</v>
      </c>
      <c r="I21" s="77"/>
      <c r="J21" s="39"/>
      <c r="K21" s="39"/>
      <c r="L21" s="39"/>
      <c r="M21" s="42"/>
      <c r="N21" s="42"/>
      <c r="O21" s="39"/>
      <c r="P21" s="39"/>
      <c r="Q21" s="39"/>
      <c r="R21" s="39"/>
      <c r="S21" s="39"/>
      <c r="T21" s="42"/>
      <c r="U21" s="42"/>
      <c r="V21" s="39"/>
      <c r="W21" s="39"/>
      <c r="X21" s="39"/>
      <c r="Y21" s="39"/>
      <c r="Z21" s="39"/>
      <c r="AA21" s="42"/>
      <c r="AB21" s="42"/>
      <c r="AC21" s="42"/>
      <c r="AD21" s="39"/>
      <c r="AE21" s="39"/>
      <c r="AF21" s="42"/>
      <c r="AG21" s="39"/>
      <c r="AH21" s="42"/>
      <c r="AI21" s="42"/>
      <c r="AJ21" s="39"/>
      <c r="AK21" s="39"/>
      <c r="AL21" s="39"/>
      <c r="AM21" s="39"/>
      <c r="AN21" s="39"/>
      <c r="AO21" s="42"/>
      <c r="AP21" s="42"/>
      <c r="AQ21" s="39"/>
      <c r="AR21" s="39"/>
      <c r="AS21" s="39"/>
      <c r="AT21" s="39"/>
      <c r="AU21" s="39"/>
      <c r="AV21" s="42"/>
      <c r="AW21" s="42"/>
      <c r="AX21" s="42"/>
      <c r="AY21" s="39"/>
      <c r="AZ21" s="39"/>
      <c r="BA21" s="39"/>
      <c r="BB21" s="39"/>
      <c r="BC21" s="42"/>
      <c r="BD21" s="42"/>
      <c r="BE21" s="39"/>
      <c r="BF21" s="39"/>
      <c r="BG21" s="39"/>
      <c r="BH21" s="39"/>
      <c r="BI21" s="39"/>
      <c r="BJ21" s="42"/>
      <c r="BK21" s="42"/>
      <c r="BL21" s="39"/>
      <c r="BM21" s="39"/>
      <c r="BN21" s="39"/>
      <c r="BO21" s="39"/>
      <c r="BP21" s="39"/>
      <c r="BQ21" s="42"/>
      <c r="BR21" s="42"/>
      <c r="BS21" s="38" t="s">
        <v>33</v>
      </c>
    </row>
    <row r="22" spans="1:71" ht="24" customHeight="1" x14ac:dyDescent="0.45">
      <c r="A22" s="82">
        <f t="shared" si="2"/>
        <v>18</v>
      </c>
      <c r="B22" s="46" t="s">
        <v>41</v>
      </c>
      <c r="C22" s="60" t="s">
        <v>21</v>
      </c>
      <c r="D22" s="83" t="str" cm="1">
        <f t="array" ref="D22">IFERROR(StatusK(I22)," 未完了")</f>
        <v xml:space="preserve"> 未完了</v>
      </c>
      <c r="E22" s="59">
        <v>1</v>
      </c>
      <c r="F22" s="58">
        <v>44459</v>
      </c>
      <c r="G22" s="58">
        <v>44466</v>
      </c>
      <c r="H22" s="58">
        <v>44459</v>
      </c>
      <c r="I22" s="77"/>
      <c r="J22" s="39"/>
      <c r="K22" s="39"/>
      <c r="L22" s="39"/>
      <c r="M22" s="42"/>
      <c r="N22" s="42"/>
      <c r="O22" s="39"/>
      <c r="P22" s="39"/>
      <c r="Q22" s="39"/>
      <c r="R22" s="39"/>
      <c r="S22" s="39"/>
      <c r="T22" s="42"/>
      <c r="U22" s="42"/>
      <c r="V22" s="39"/>
      <c r="W22" s="39"/>
      <c r="X22" s="39"/>
      <c r="Y22" s="39"/>
      <c r="Z22" s="39"/>
      <c r="AA22" s="42"/>
      <c r="AB22" s="42"/>
      <c r="AC22" s="42"/>
      <c r="AD22" s="39"/>
      <c r="AE22" s="39"/>
      <c r="AF22" s="42"/>
      <c r="AG22" s="39"/>
      <c r="AH22" s="42"/>
      <c r="AI22" s="42"/>
      <c r="AJ22" s="39"/>
      <c r="AK22" s="39"/>
      <c r="AL22" s="39"/>
      <c r="AM22" s="39"/>
      <c r="AN22" s="39"/>
      <c r="AO22" s="42"/>
      <c r="AP22" s="42"/>
      <c r="AQ22" s="39"/>
      <c r="AR22" s="39"/>
      <c r="AS22" s="39"/>
      <c r="AT22" s="39"/>
      <c r="AU22" s="39"/>
      <c r="AV22" s="42"/>
      <c r="AW22" s="42"/>
      <c r="AX22" s="42"/>
      <c r="AY22" s="39"/>
      <c r="AZ22" s="39"/>
      <c r="BA22" s="39"/>
      <c r="BB22" s="39"/>
      <c r="BC22" s="42"/>
      <c r="BD22" s="42"/>
      <c r="BE22" s="39"/>
      <c r="BF22" s="39"/>
      <c r="BG22" s="39"/>
      <c r="BH22" s="39"/>
      <c r="BI22" s="39"/>
      <c r="BJ22" s="42"/>
      <c r="BK22" s="42"/>
      <c r="BL22" s="39"/>
      <c r="BM22" s="39"/>
      <c r="BN22" s="39"/>
      <c r="BO22" s="39"/>
      <c r="BP22" s="39"/>
      <c r="BQ22" s="42"/>
      <c r="BR22" s="42"/>
      <c r="BS22" s="38" t="s">
        <v>33</v>
      </c>
    </row>
    <row r="23" spans="1:71" ht="24" customHeight="1" x14ac:dyDescent="0.45">
      <c r="A23" s="82">
        <f t="shared" si="2"/>
        <v>19</v>
      </c>
      <c r="B23" s="46" t="s">
        <v>41</v>
      </c>
      <c r="C23" s="60" t="s">
        <v>21</v>
      </c>
      <c r="D23" s="83" t="str" cm="1">
        <f t="array" ref="D23">IFERROR(StatusK(I23)," 未完了")</f>
        <v xml:space="preserve"> 未完了</v>
      </c>
      <c r="E23" s="59">
        <v>1</v>
      </c>
      <c r="F23" s="58">
        <v>44459</v>
      </c>
      <c r="G23" s="58">
        <v>44466</v>
      </c>
      <c r="H23" s="58">
        <v>44459</v>
      </c>
      <c r="I23" s="77"/>
      <c r="J23" s="39"/>
      <c r="K23" s="39"/>
      <c r="L23" s="39"/>
      <c r="M23" s="42"/>
      <c r="N23" s="42"/>
      <c r="O23" s="39"/>
      <c r="P23" s="39"/>
      <c r="Q23" s="39"/>
      <c r="R23" s="39"/>
      <c r="S23" s="39"/>
      <c r="T23" s="42"/>
      <c r="U23" s="42"/>
      <c r="V23" s="39"/>
      <c r="W23" s="39"/>
      <c r="X23" s="39"/>
      <c r="Y23" s="39"/>
      <c r="Z23" s="39"/>
      <c r="AA23" s="42"/>
      <c r="AB23" s="42"/>
      <c r="AC23" s="42"/>
      <c r="AD23" s="39"/>
      <c r="AE23" s="39"/>
      <c r="AF23" s="42"/>
      <c r="AG23" s="39"/>
      <c r="AH23" s="42"/>
      <c r="AI23" s="42"/>
      <c r="AJ23" s="39"/>
      <c r="AK23" s="39"/>
      <c r="AL23" s="39"/>
      <c r="AM23" s="39"/>
      <c r="AN23" s="39"/>
      <c r="AO23" s="42"/>
      <c r="AP23" s="42"/>
      <c r="AQ23" s="39"/>
      <c r="AR23" s="39"/>
      <c r="AS23" s="39"/>
      <c r="AT23" s="39"/>
      <c r="AU23" s="39"/>
      <c r="AV23" s="42"/>
      <c r="AW23" s="42"/>
      <c r="AX23" s="42"/>
      <c r="AY23" s="39"/>
      <c r="AZ23" s="39"/>
      <c r="BA23" s="39"/>
      <c r="BB23" s="39"/>
      <c r="BC23" s="42"/>
      <c r="BD23" s="42"/>
      <c r="BE23" s="39"/>
      <c r="BF23" s="39"/>
      <c r="BG23" s="39"/>
      <c r="BH23" s="39"/>
      <c r="BI23" s="39"/>
      <c r="BJ23" s="42"/>
      <c r="BK23" s="42"/>
      <c r="BL23" s="39"/>
      <c r="BM23" s="39"/>
      <c r="BN23" s="39"/>
      <c r="BO23" s="39"/>
      <c r="BP23" s="39"/>
      <c r="BQ23" s="42"/>
      <c r="BR23" s="42"/>
      <c r="BS23" s="38" t="s">
        <v>33</v>
      </c>
    </row>
    <row r="24" spans="1:71" ht="24" customHeight="1" x14ac:dyDescent="0.45">
      <c r="A24" s="82">
        <f t="shared" si="2"/>
        <v>20</v>
      </c>
      <c r="B24" s="46" t="s">
        <v>41</v>
      </c>
      <c r="C24" s="60" t="s">
        <v>21</v>
      </c>
      <c r="D24" s="83" t="str" cm="1">
        <f t="array" ref="D24">IFERROR(StatusK(I24)," 未完了")</f>
        <v xml:space="preserve"> 未完了</v>
      </c>
      <c r="E24" s="59">
        <v>1</v>
      </c>
      <c r="F24" s="58">
        <v>44459</v>
      </c>
      <c r="G24" s="58">
        <v>44466</v>
      </c>
      <c r="H24" s="58">
        <v>44459</v>
      </c>
      <c r="I24" s="77"/>
      <c r="J24" s="39"/>
      <c r="K24" s="39"/>
      <c r="L24" s="39"/>
      <c r="M24" s="42"/>
      <c r="N24" s="42"/>
      <c r="O24" s="39"/>
      <c r="P24" s="39"/>
      <c r="Q24" s="39"/>
      <c r="R24" s="39"/>
      <c r="S24" s="39"/>
      <c r="T24" s="42"/>
      <c r="U24" s="42"/>
      <c r="V24" s="39"/>
      <c r="W24" s="39"/>
      <c r="X24" s="39"/>
      <c r="Y24" s="39"/>
      <c r="Z24" s="39"/>
      <c r="AA24" s="42"/>
      <c r="AB24" s="42"/>
      <c r="AC24" s="42"/>
      <c r="AD24" s="39"/>
      <c r="AE24" s="39"/>
      <c r="AF24" s="42"/>
      <c r="AG24" s="39"/>
      <c r="AH24" s="42"/>
      <c r="AI24" s="42"/>
      <c r="AJ24" s="39"/>
      <c r="AK24" s="39"/>
      <c r="AL24" s="39"/>
      <c r="AM24" s="39"/>
      <c r="AN24" s="39"/>
      <c r="AO24" s="42"/>
      <c r="AP24" s="42"/>
      <c r="AQ24" s="39"/>
      <c r="AR24" s="39"/>
      <c r="AS24" s="39"/>
      <c r="AT24" s="39"/>
      <c r="AU24" s="39"/>
      <c r="AV24" s="42"/>
      <c r="AW24" s="42"/>
      <c r="AX24" s="42"/>
      <c r="AY24" s="39"/>
      <c r="AZ24" s="39"/>
      <c r="BA24" s="39"/>
      <c r="BB24" s="39"/>
      <c r="BC24" s="42"/>
      <c r="BD24" s="42"/>
      <c r="BE24" s="39"/>
      <c r="BF24" s="39"/>
      <c r="BG24" s="39"/>
      <c r="BH24" s="39"/>
      <c r="BI24" s="39"/>
      <c r="BJ24" s="42"/>
      <c r="BK24" s="42"/>
      <c r="BL24" s="39"/>
      <c r="BM24" s="39"/>
      <c r="BN24" s="39"/>
      <c r="BO24" s="39"/>
      <c r="BP24" s="39"/>
      <c r="BQ24" s="42"/>
      <c r="BR24" s="42"/>
      <c r="BS24" s="38" t="s">
        <v>33</v>
      </c>
    </row>
    <row r="25" spans="1:71" ht="24" customHeight="1" x14ac:dyDescent="0.45">
      <c r="A25" s="82">
        <f t="shared" si="2"/>
        <v>21</v>
      </c>
      <c r="B25" s="46" t="s">
        <v>41</v>
      </c>
      <c r="C25" s="60" t="s">
        <v>21</v>
      </c>
      <c r="D25" s="83" t="str" cm="1">
        <f t="array" ref="D25">IFERROR(StatusK(I25)," 未完了")</f>
        <v xml:space="preserve"> 未完了</v>
      </c>
      <c r="E25" s="59">
        <v>1</v>
      </c>
      <c r="F25" s="58">
        <v>44459</v>
      </c>
      <c r="G25" s="58">
        <v>44466</v>
      </c>
      <c r="H25" s="58">
        <v>44459</v>
      </c>
      <c r="I25" s="77"/>
      <c r="J25" s="39"/>
      <c r="K25" s="39"/>
      <c r="L25" s="39"/>
      <c r="M25" s="42"/>
      <c r="N25" s="42"/>
      <c r="O25" s="39"/>
      <c r="P25" s="39"/>
      <c r="Q25" s="39"/>
      <c r="R25" s="39"/>
      <c r="S25" s="39"/>
      <c r="T25" s="42"/>
      <c r="U25" s="42"/>
      <c r="V25" s="39"/>
      <c r="W25" s="39"/>
      <c r="X25" s="39"/>
      <c r="Y25" s="39"/>
      <c r="Z25" s="39"/>
      <c r="AA25" s="42"/>
      <c r="AB25" s="42"/>
      <c r="AC25" s="42"/>
      <c r="AD25" s="39"/>
      <c r="AE25" s="39"/>
      <c r="AF25" s="42"/>
      <c r="AG25" s="39"/>
      <c r="AH25" s="42"/>
      <c r="AI25" s="42"/>
      <c r="AJ25" s="39"/>
      <c r="AK25" s="39"/>
      <c r="AL25" s="39"/>
      <c r="AM25" s="39"/>
      <c r="AN25" s="39"/>
      <c r="AO25" s="42"/>
      <c r="AP25" s="42"/>
      <c r="AQ25" s="39"/>
      <c r="AR25" s="39"/>
      <c r="AS25" s="39"/>
      <c r="AT25" s="39"/>
      <c r="AU25" s="39"/>
      <c r="AV25" s="42"/>
      <c r="AW25" s="42"/>
      <c r="AX25" s="42"/>
      <c r="AY25" s="39"/>
      <c r="AZ25" s="39"/>
      <c r="BA25" s="39"/>
      <c r="BB25" s="39"/>
      <c r="BC25" s="42"/>
      <c r="BD25" s="42"/>
      <c r="BE25" s="39"/>
      <c r="BF25" s="39"/>
      <c r="BG25" s="39"/>
      <c r="BH25" s="39"/>
      <c r="BI25" s="39"/>
      <c r="BJ25" s="42"/>
      <c r="BK25" s="42"/>
      <c r="BL25" s="39"/>
      <c r="BM25" s="39"/>
      <c r="BN25" s="39"/>
      <c r="BO25" s="39"/>
      <c r="BP25" s="39"/>
      <c r="BQ25" s="42"/>
      <c r="BR25" s="42"/>
      <c r="BS25" s="38" t="s">
        <v>33</v>
      </c>
    </row>
    <row r="26" spans="1:71" ht="24" customHeight="1" x14ac:dyDescent="0.45">
      <c r="A26" s="82">
        <f t="shared" si="2"/>
        <v>22</v>
      </c>
      <c r="B26" s="46" t="s">
        <v>41</v>
      </c>
      <c r="C26" s="60" t="s">
        <v>21</v>
      </c>
      <c r="D26" s="83" t="str" cm="1">
        <f t="array" ref="D26">IFERROR(StatusK(I26)," 未完了")</f>
        <v xml:space="preserve"> 未完了</v>
      </c>
      <c r="E26" s="59">
        <v>1</v>
      </c>
      <c r="F26" s="58">
        <v>44459</v>
      </c>
      <c r="G26" s="58">
        <v>44466</v>
      </c>
      <c r="H26" s="58">
        <v>44459</v>
      </c>
      <c r="I26" s="77"/>
      <c r="J26" s="39"/>
      <c r="K26" s="39"/>
      <c r="L26" s="39"/>
      <c r="M26" s="42"/>
      <c r="N26" s="42"/>
      <c r="O26" s="39"/>
      <c r="P26" s="39"/>
      <c r="Q26" s="39"/>
      <c r="R26" s="39"/>
      <c r="S26" s="39"/>
      <c r="T26" s="42"/>
      <c r="U26" s="42"/>
      <c r="V26" s="39"/>
      <c r="W26" s="39"/>
      <c r="X26" s="39"/>
      <c r="Y26" s="39"/>
      <c r="Z26" s="39"/>
      <c r="AA26" s="42"/>
      <c r="AB26" s="42"/>
      <c r="AC26" s="42"/>
      <c r="AD26" s="39"/>
      <c r="AE26" s="39"/>
      <c r="AF26" s="42"/>
      <c r="AG26" s="39"/>
      <c r="AH26" s="42"/>
      <c r="AI26" s="42"/>
      <c r="AJ26" s="39"/>
      <c r="AK26" s="39"/>
      <c r="AL26" s="39"/>
      <c r="AM26" s="39"/>
      <c r="AN26" s="39"/>
      <c r="AO26" s="42"/>
      <c r="AP26" s="42"/>
      <c r="AQ26" s="39"/>
      <c r="AR26" s="39"/>
      <c r="AS26" s="39"/>
      <c r="AT26" s="39"/>
      <c r="AU26" s="39"/>
      <c r="AV26" s="42"/>
      <c r="AW26" s="42"/>
      <c r="AX26" s="42"/>
      <c r="AY26" s="39"/>
      <c r="AZ26" s="39"/>
      <c r="BA26" s="39"/>
      <c r="BB26" s="39"/>
      <c r="BC26" s="42"/>
      <c r="BD26" s="42"/>
      <c r="BE26" s="39"/>
      <c r="BF26" s="39"/>
      <c r="BG26" s="39"/>
      <c r="BH26" s="39"/>
      <c r="BI26" s="39"/>
      <c r="BJ26" s="42"/>
      <c r="BK26" s="42"/>
      <c r="BL26" s="39"/>
      <c r="BM26" s="39"/>
      <c r="BN26" s="39"/>
      <c r="BO26" s="39"/>
      <c r="BP26" s="39"/>
      <c r="BQ26" s="42"/>
      <c r="BR26" s="42"/>
      <c r="BS26" s="38" t="s">
        <v>33</v>
      </c>
    </row>
    <row r="27" spans="1:71" ht="24" customHeight="1" x14ac:dyDescent="0.45">
      <c r="A27" s="82">
        <f t="shared" si="2"/>
        <v>23</v>
      </c>
      <c r="B27" s="46" t="s">
        <v>41</v>
      </c>
      <c r="C27" s="60" t="s">
        <v>21</v>
      </c>
      <c r="D27" s="83" t="str" cm="1">
        <f t="array" ref="D27">IFERROR(StatusK(I27)," 未完了")</f>
        <v xml:space="preserve"> 未完了</v>
      </c>
      <c r="E27" s="59">
        <v>1</v>
      </c>
      <c r="F27" s="58">
        <v>44459</v>
      </c>
      <c r="G27" s="58">
        <v>44466</v>
      </c>
      <c r="H27" s="58">
        <v>44459</v>
      </c>
      <c r="I27" s="77"/>
      <c r="J27" s="39"/>
      <c r="K27" s="39"/>
      <c r="L27" s="39"/>
      <c r="M27" s="42"/>
      <c r="N27" s="42"/>
      <c r="O27" s="39"/>
      <c r="P27" s="39"/>
      <c r="Q27" s="39"/>
      <c r="R27" s="39"/>
      <c r="S27" s="39"/>
      <c r="T27" s="42"/>
      <c r="U27" s="42"/>
      <c r="V27" s="39"/>
      <c r="W27" s="39"/>
      <c r="X27" s="39"/>
      <c r="Y27" s="39"/>
      <c r="Z27" s="39"/>
      <c r="AA27" s="42"/>
      <c r="AB27" s="42"/>
      <c r="AC27" s="42"/>
      <c r="AD27" s="39"/>
      <c r="AE27" s="39"/>
      <c r="AF27" s="42"/>
      <c r="AG27" s="39"/>
      <c r="AH27" s="42"/>
      <c r="AI27" s="42"/>
      <c r="AJ27" s="39"/>
      <c r="AK27" s="39"/>
      <c r="AL27" s="39"/>
      <c r="AM27" s="39"/>
      <c r="AN27" s="39"/>
      <c r="AO27" s="42"/>
      <c r="AP27" s="42"/>
      <c r="AQ27" s="39"/>
      <c r="AR27" s="39"/>
      <c r="AS27" s="39"/>
      <c r="AT27" s="39"/>
      <c r="AU27" s="39"/>
      <c r="AV27" s="42"/>
      <c r="AW27" s="42"/>
      <c r="AX27" s="42"/>
      <c r="AY27" s="39"/>
      <c r="AZ27" s="39"/>
      <c r="BA27" s="39"/>
      <c r="BB27" s="39"/>
      <c r="BC27" s="42"/>
      <c r="BD27" s="42"/>
      <c r="BE27" s="39"/>
      <c r="BF27" s="39"/>
      <c r="BG27" s="39"/>
      <c r="BH27" s="39"/>
      <c r="BI27" s="39"/>
      <c r="BJ27" s="42"/>
      <c r="BK27" s="42"/>
      <c r="BL27" s="39"/>
      <c r="BM27" s="39"/>
      <c r="BN27" s="39"/>
      <c r="BO27" s="39"/>
      <c r="BP27" s="39"/>
      <c r="BQ27" s="42"/>
      <c r="BR27" s="42"/>
      <c r="BS27" s="38" t="s">
        <v>33</v>
      </c>
    </row>
    <row r="28" spans="1:71" ht="24" customHeight="1" x14ac:dyDescent="0.45">
      <c r="A28" s="82">
        <f t="shared" si="2"/>
        <v>24</v>
      </c>
      <c r="B28" s="46" t="s">
        <v>41</v>
      </c>
      <c r="C28" s="60" t="s">
        <v>21</v>
      </c>
      <c r="D28" s="83" t="str" cm="1">
        <f t="array" ref="D28">IFERROR(StatusK(I28)," 未完了")</f>
        <v xml:space="preserve"> 未完了</v>
      </c>
      <c r="E28" s="59">
        <v>1</v>
      </c>
      <c r="F28" s="58">
        <v>44459</v>
      </c>
      <c r="G28" s="58">
        <v>44466</v>
      </c>
      <c r="H28" s="58">
        <v>44459</v>
      </c>
      <c r="I28" s="77"/>
      <c r="J28" s="39"/>
      <c r="K28" s="39"/>
      <c r="L28" s="39"/>
      <c r="M28" s="42"/>
      <c r="N28" s="42"/>
      <c r="O28" s="39"/>
      <c r="P28" s="39"/>
      <c r="Q28" s="39"/>
      <c r="R28" s="39"/>
      <c r="S28" s="39"/>
      <c r="T28" s="42"/>
      <c r="U28" s="42"/>
      <c r="V28" s="39"/>
      <c r="W28" s="39"/>
      <c r="X28" s="39"/>
      <c r="Y28" s="39"/>
      <c r="Z28" s="39"/>
      <c r="AA28" s="42"/>
      <c r="AB28" s="42"/>
      <c r="AC28" s="42"/>
      <c r="AD28" s="39"/>
      <c r="AE28" s="39"/>
      <c r="AF28" s="42"/>
      <c r="AG28" s="39"/>
      <c r="AH28" s="42"/>
      <c r="AI28" s="42"/>
      <c r="AJ28" s="39"/>
      <c r="AK28" s="39"/>
      <c r="AL28" s="39"/>
      <c r="AM28" s="39"/>
      <c r="AN28" s="39"/>
      <c r="AO28" s="42"/>
      <c r="AP28" s="42"/>
      <c r="AQ28" s="39"/>
      <c r="AR28" s="39"/>
      <c r="AS28" s="39"/>
      <c r="AT28" s="39"/>
      <c r="AU28" s="39"/>
      <c r="AV28" s="42"/>
      <c r="AW28" s="42"/>
      <c r="AX28" s="42"/>
      <c r="AY28" s="39"/>
      <c r="AZ28" s="39"/>
      <c r="BA28" s="39"/>
      <c r="BB28" s="39"/>
      <c r="BC28" s="42"/>
      <c r="BD28" s="42"/>
      <c r="BE28" s="39"/>
      <c r="BF28" s="39"/>
      <c r="BG28" s="39"/>
      <c r="BH28" s="39"/>
      <c r="BI28" s="39"/>
      <c r="BJ28" s="42"/>
      <c r="BK28" s="42"/>
      <c r="BL28" s="39"/>
      <c r="BM28" s="39"/>
      <c r="BN28" s="39"/>
      <c r="BO28" s="39"/>
      <c r="BP28" s="39"/>
      <c r="BQ28" s="42"/>
      <c r="BR28" s="42"/>
      <c r="BS28" s="38" t="s">
        <v>33</v>
      </c>
    </row>
    <row r="29" spans="1:71" ht="24" customHeight="1" x14ac:dyDescent="0.45">
      <c r="A29" s="82">
        <f t="shared" si="2"/>
        <v>25</v>
      </c>
      <c r="B29" s="46" t="s">
        <v>41</v>
      </c>
      <c r="C29" s="60" t="s">
        <v>21</v>
      </c>
      <c r="D29" s="83" t="str" cm="1">
        <f t="array" ref="D29">IFERROR(StatusK(I29)," 未完了")</f>
        <v xml:space="preserve"> 未完了</v>
      </c>
      <c r="E29" s="59">
        <v>1</v>
      </c>
      <c r="F29" s="58">
        <v>44459</v>
      </c>
      <c r="G29" s="58">
        <v>44466</v>
      </c>
      <c r="H29" s="58">
        <v>44459</v>
      </c>
      <c r="I29" s="77"/>
      <c r="J29" s="39"/>
      <c r="K29" s="39"/>
      <c r="L29" s="39"/>
      <c r="M29" s="42"/>
      <c r="N29" s="42"/>
      <c r="O29" s="39"/>
      <c r="P29" s="39"/>
      <c r="Q29" s="39"/>
      <c r="R29" s="39"/>
      <c r="S29" s="39"/>
      <c r="T29" s="42"/>
      <c r="U29" s="42"/>
      <c r="V29" s="39"/>
      <c r="W29" s="39"/>
      <c r="X29" s="39"/>
      <c r="Y29" s="39"/>
      <c r="Z29" s="39"/>
      <c r="AA29" s="42"/>
      <c r="AB29" s="42"/>
      <c r="AC29" s="42"/>
      <c r="AD29" s="39"/>
      <c r="AE29" s="39"/>
      <c r="AF29" s="42"/>
      <c r="AG29" s="39"/>
      <c r="AH29" s="42"/>
      <c r="AI29" s="42"/>
      <c r="AJ29" s="39"/>
      <c r="AK29" s="39"/>
      <c r="AL29" s="39"/>
      <c r="AM29" s="39"/>
      <c r="AN29" s="39"/>
      <c r="AO29" s="42"/>
      <c r="AP29" s="42"/>
      <c r="AQ29" s="39"/>
      <c r="AR29" s="39"/>
      <c r="AS29" s="39"/>
      <c r="AT29" s="39"/>
      <c r="AU29" s="39"/>
      <c r="AV29" s="42"/>
      <c r="AW29" s="42"/>
      <c r="AX29" s="42"/>
      <c r="AY29" s="39"/>
      <c r="AZ29" s="39"/>
      <c r="BA29" s="39"/>
      <c r="BB29" s="39"/>
      <c r="BC29" s="42"/>
      <c r="BD29" s="42"/>
      <c r="BE29" s="39"/>
      <c r="BF29" s="39"/>
      <c r="BG29" s="39"/>
      <c r="BH29" s="39"/>
      <c r="BI29" s="39"/>
      <c r="BJ29" s="42"/>
      <c r="BK29" s="42"/>
      <c r="BL29" s="39"/>
      <c r="BM29" s="39"/>
      <c r="BN29" s="39"/>
      <c r="BO29" s="39"/>
      <c r="BP29" s="39"/>
      <c r="BQ29" s="42"/>
      <c r="BR29" s="42"/>
      <c r="BS29" s="38" t="s">
        <v>33</v>
      </c>
    </row>
    <row r="30" spans="1:71" ht="24" customHeight="1" x14ac:dyDescent="0.45">
      <c r="A30" s="82">
        <f t="shared" si="2"/>
        <v>26</v>
      </c>
      <c r="B30" s="46" t="s">
        <v>41</v>
      </c>
      <c r="C30" s="60" t="s">
        <v>21</v>
      </c>
      <c r="D30" s="83" t="str" cm="1">
        <f t="array" ref="D30">IFERROR(StatusK(I30)," 未完了")</f>
        <v xml:space="preserve"> 未完了</v>
      </c>
      <c r="E30" s="59">
        <v>1</v>
      </c>
      <c r="F30" s="58">
        <v>44459</v>
      </c>
      <c r="G30" s="58">
        <v>44466</v>
      </c>
      <c r="H30" s="58">
        <v>44459</v>
      </c>
      <c r="I30" s="77"/>
      <c r="J30" s="39"/>
      <c r="K30" s="39"/>
      <c r="L30" s="39"/>
      <c r="M30" s="42"/>
      <c r="N30" s="42"/>
      <c r="O30" s="39"/>
      <c r="P30" s="39"/>
      <c r="Q30" s="39"/>
      <c r="R30" s="39"/>
      <c r="S30" s="39"/>
      <c r="T30" s="42"/>
      <c r="U30" s="42"/>
      <c r="V30" s="39"/>
      <c r="W30" s="39"/>
      <c r="X30" s="39"/>
      <c r="Y30" s="39"/>
      <c r="Z30" s="39"/>
      <c r="AA30" s="42"/>
      <c r="AB30" s="42"/>
      <c r="AC30" s="42"/>
      <c r="AD30" s="39"/>
      <c r="AE30" s="39"/>
      <c r="AF30" s="42"/>
      <c r="AG30" s="39"/>
      <c r="AH30" s="42"/>
      <c r="AI30" s="42"/>
      <c r="AJ30" s="39"/>
      <c r="AK30" s="39"/>
      <c r="AL30" s="39"/>
      <c r="AM30" s="39"/>
      <c r="AN30" s="39"/>
      <c r="AO30" s="42"/>
      <c r="AP30" s="42"/>
      <c r="AQ30" s="39"/>
      <c r="AR30" s="39"/>
      <c r="AS30" s="39"/>
      <c r="AT30" s="39"/>
      <c r="AU30" s="39"/>
      <c r="AV30" s="42"/>
      <c r="AW30" s="42"/>
      <c r="AX30" s="42"/>
      <c r="AY30" s="39"/>
      <c r="AZ30" s="39"/>
      <c r="BA30" s="39"/>
      <c r="BB30" s="39"/>
      <c r="BC30" s="42"/>
      <c r="BD30" s="42"/>
      <c r="BE30" s="39"/>
      <c r="BF30" s="39"/>
      <c r="BG30" s="39"/>
      <c r="BH30" s="39"/>
      <c r="BI30" s="39"/>
      <c r="BJ30" s="42"/>
      <c r="BK30" s="42"/>
      <c r="BL30" s="39"/>
      <c r="BM30" s="39"/>
      <c r="BN30" s="39"/>
      <c r="BO30" s="39"/>
      <c r="BP30" s="39"/>
      <c r="BQ30" s="42"/>
      <c r="BR30" s="42"/>
      <c r="BS30" s="38" t="s">
        <v>33</v>
      </c>
    </row>
    <row r="31" spans="1:71" ht="24" customHeight="1" x14ac:dyDescent="0.45">
      <c r="A31" s="82">
        <f t="shared" si="2"/>
        <v>27</v>
      </c>
      <c r="B31" s="46" t="s">
        <v>41</v>
      </c>
      <c r="C31" s="60" t="s">
        <v>21</v>
      </c>
      <c r="D31" s="83" t="str" cm="1">
        <f t="array" ref="D31">IFERROR(StatusK(I31)," 未完了")</f>
        <v xml:space="preserve"> 未完了</v>
      </c>
      <c r="E31" s="59">
        <v>2</v>
      </c>
      <c r="F31" s="58">
        <v>44459</v>
      </c>
      <c r="G31" s="58">
        <v>44466</v>
      </c>
      <c r="H31" s="58">
        <v>44459</v>
      </c>
      <c r="I31" s="77"/>
      <c r="J31" s="39"/>
      <c r="K31" s="39"/>
      <c r="L31" s="39"/>
      <c r="M31" s="42"/>
      <c r="N31" s="42"/>
      <c r="O31" s="39"/>
      <c r="P31" s="39"/>
      <c r="Q31" s="39"/>
      <c r="R31" s="39"/>
      <c r="S31" s="39"/>
      <c r="T31" s="42"/>
      <c r="U31" s="42"/>
      <c r="V31" s="39"/>
      <c r="W31" s="39"/>
      <c r="X31" s="39"/>
      <c r="Y31" s="39"/>
      <c r="Z31" s="39"/>
      <c r="AA31" s="42"/>
      <c r="AB31" s="42"/>
      <c r="AC31" s="42"/>
      <c r="AD31" s="39"/>
      <c r="AE31" s="39"/>
      <c r="AF31" s="42"/>
      <c r="AG31" s="39"/>
      <c r="AH31" s="42"/>
      <c r="AI31" s="42"/>
      <c r="AJ31" s="39"/>
      <c r="AK31" s="39"/>
      <c r="AL31" s="39"/>
      <c r="AM31" s="39"/>
      <c r="AN31" s="39"/>
      <c r="AO31" s="42"/>
      <c r="AP31" s="42"/>
      <c r="AQ31" s="39"/>
      <c r="AR31" s="39"/>
      <c r="AS31" s="39"/>
      <c r="AT31" s="39"/>
      <c r="AU31" s="39"/>
      <c r="AV31" s="42"/>
      <c r="AW31" s="42"/>
      <c r="AX31" s="42"/>
      <c r="AY31" s="39"/>
      <c r="AZ31" s="39"/>
      <c r="BA31" s="39"/>
      <c r="BB31" s="39"/>
      <c r="BC31" s="42"/>
      <c r="BD31" s="42"/>
      <c r="BE31" s="39"/>
      <c r="BF31" s="39"/>
      <c r="BG31" s="39"/>
      <c r="BH31" s="39"/>
      <c r="BI31" s="39"/>
      <c r="BJ31" s="42"/>
      <c r="BK31" s="42"/>
      <c r="BL31" s="39"/>
      <c r="BM31" s="39"/>
      <c r="BN31" s="39"/>
      <c r="BO31" s="39"/>
      <c r="BP31" s="39"/>
      <c r="BQ31" s="42"/>
      <c r="BR31" s="42"/>
      <c r="BS31" s="38" t="s">
        <v>33</v>
      </c>
    </row>
    <row r="32" spans="1:71" ht="24" customHeight="1" x14ac:dyDescent="0.45">
      <c r="A32" s="82">
        <f t="shared" si="2"/>
        <v>28</v>
      </c>
      <c r="B32" s="46" t="s">
        <v>41</v>
      </c>
      <c r="C32" s="60" t="s">
        <v>21</v>
      </c>
      <c r="D32" s="83" t="str" cm="1">
        <f t="array" ref="D32">IFERROR(StatusK(I32)," 未完了")</f>
        <v xml:space="preserve"> 未完了</v>
      </c>
      <c r="E32" s="59">
        <v>1</v>
      </c>
      <c r="F32" s="58">
        <v>44459</v>
      </c>
      <c r="G32" s="58">
        <v>44466</v>
      </c>
      <c r="H32" s="58">
        <v>44459</v>
      </c>
      <c r="I32" s="77"/>
      <c r="J32" s="39"/>
      <c r="K32" s="39"/>
      <c r="L32" s="39"/>
      <c r="M32" s="42"/>
      <c r="N32" s="42"/>
      <c r="O32" s="39"/>
      <c r="P32" s="39"/>
      <c r="Q32" s="39"/>
      <c r="R32" s="39"/>
      <c r="S32" s="39"/>
      <c r="T32" s="42"/>
      <c r="U32" s="42"/>
      <c r="V32" s="39"/>
      <c r="W32" s="39"/>
      <c r="X32" s="39"/>
      <c r="Y32" s="39"/>
      <c r="Z32" s="39"/>
      <c r="AA32" s="42"/>
      <c r="AB32" s="42"/>
      <c r="AC32" s="42"/>
      <c r="AD32" s="39"/>
      <c r="AE32" s="39"/>
      <c r="AF32" s="42"/>
      <c r="AG32" s="39"/>
      <c r="AH32" s="42"/>
      <c r="AI32" s="42"/>
      <c r="AJ32" s="39"/>
      <c r="AK32" s="39"/>
      <c r="AL32" s="39"/>
      <c r="AM32" s="39"/>
      <c r="AN32" s="39"/>
      <c r="AO32" s="42"/>
      <c r="AP32" s="42"/>
      <c r="AQ32" s="39"/>
      <c r="AR32" s="39"/>
      <c r="AS32" s="39"/>
      <c r="AT32" s="39"/>
      <c r="AU32" s="39"/>
      <c r="AV32" s="42"/>
      <c r="AW32" s="42"/>
      <c r="AX32" s="42"/>
      <c r="AY32" s="39"/>
      <c r="AZ32" s="39"/>
      <c r="BA32" s="39"/>
      <c r="BB32" s="39"/>
      <c r="BC32" s="42"/>
      <c r="BD32" s="42"/>
      <c r="BE32" s="39"/>
      <c r="BF32" s="39"/>
      <c r="BG32" s="39"/>
      <c r="BH32" s="39"/>
      <c r="BI32" s="39"/>
      <c r="BJ32" s="42"/>
      <c r="BK32" s="42"/>
      <c r="BL32" s="39"/>
      <c r="BM32" s="39"/>
      <c r="BN32" s="39"/>
      <c r="BO32" s="39"/>
      <c r="BP32" s="39"/>
      <c r="BQ32" s="42"/>
      <c r="BR32" s="42"/>
      <c r="BS32" s="38" t="s">
        <v>33</v>
      </c>
    </row>
    <row r="33" spans="1:71" ht="24" customHeight="1" x14ac:dyDescent="0.45">
      <c r="A33" s="82">
        <f t="shared" si="2"/>
        <v>29</v>
      </c>
      <c r="B33" s="46" t="s">
        <v>41</v>
      </c>
      <c r="C33" s="60" t="s">
        <v>21</v>
      </c>
      <c r="D33" s="83" t="str" cm="1">
        <f t="array" ref="D33">IFERROR(StatusK(I33)," 未完了")</f>
        <v xml:space="preserve"> 未完了</v>
      </c>
      <c r="E33" s="59">
        <v>2</v>
      </c>
      <c r="F33" s="58">
        <v>44459</v>
      </c>
      <c r="G33" s="58">
        <v>44466</v>
      </c>
      <c r="H33" s="58">
        <v>44459</v>
      </c>
      <c r="I33" s="77"/>
      <c r="J33" s="39"/>
      <c r="K33" s="39"/>
      <c r="L33" s="39"/>
      <c r="M33" s="42"/>
      <c r="N33" s="42"/>
      <c r="O33" s="39"/>
      <c r="P33" s="39"/>
      <c r="Q33" s="39"/>
      <c r="R33" s="39"/>
      <c r="S33" s="39"/>
      <c r="T33" s="42"/>
      <c r="U33" s="42"/>
      <c r="V33" s="39"/>
      <c r="W33" s="39"/>
      <c r="X33" s="39"/>
      <c r="Y33" s="39"/>
      <c r="Z33" s="39"/>
      <c r="AA33" s="42"/>
      <c r="AB33" s="42"/>
      <c r="AC33" s="42"/>
      <c r="AD33" s="39"/>
      <c r="AE33" s="39"/>
      <c r="AF33" s="42"/>
      <c r="AG33" s="39"/>
      <c r="AH33" s="42"/>
      <c r="AI33" s="42"/>
      <c r="AJ33" s="39"/>
      <c r="AK33" s="39"/>
      <c r="AL33" s="39"/>
      <c r="AM33" s="39"/>
      <c r="AN33" s="39"/>
      <c r="AO33" s="42"/>
      <c r="AP33" s="42"/>
      <c r="AQ33" s="39"/>
      <c r="AR33" s="39"/>
      <c r="AS33" s="39"/>
      <c r="AT33" s="39"/>
      <c r="AU33" s="39"/>
      <c r="AV33" s="42"/>
      <c r="AW33" s="42"/>
      <c r="AX33" s="42"/>
      <c r="AY33" s="39"/>
      <c r="AZ33" s="39"/>
      <c r="BA33" s="39"/>
      <c r="BB33" s="39"/>
      <c r="BC33" s="42"/>
      <c r="BD33" s="42"/>
      <c r="BE33" s="39"/>
      <c r="BF33" s="39"/>
      <c r="BG33" s="39"/>
      <c r="BH33" s="39"/>
      <c r="BI33" s="39"/>
      <c r="BJ33" s="42"/>
      <c r="BK33" s="42"/>
      <c r="BL33" s="39"/>
      <c r="BM33" s="39"/>
      <c r="BN33" s="39"/>
      <c r="BO33" s="39"/>
      <c r="BP33" s="39"/>
      <c r="BQ33" s="42"/>
      <c r="BR33" s="42"/>
      <c r="BS33" s="38" t="s">
        <v>33</v>
      </c>
    </row>
    <row r="34" spans="1:71" ht="24" customHeight="1" x14ac:dyDescent="0.45">
      <c r="A34" s="82">
        <f t="shared" si="2"/>
        <v>30</v>
      </c>
      <c r="B34" s="63" t="s">
        <v>41</v>
      </c>
      <c r="C34" s="64" t="s">
        <v>21</v>
      </c>
      <c r="D34" s="83" t="str" cm="1">
        <f t="array" ref="D34">IFERROR(StatusK(I34)," 未完了")</f>
        <v xml:space="preserve"> 未完了</v>
      </c>
      <c r="E34" s="65">
        <v>1</v>
      </c>
      <c r="F34" s="66">
        <v>44459</v>
      </c>
      <c r="G34" s="66">
        <v>44466</v>
      </c>
      <c r="H34" s="66">
        <v>44459</v>
      </c>
      <c r="I34" s="78"/>
      <c r="J34" s="39"/>
      <c r="K34" s="39"/>
      <c r="L34" s="39"/>
      <c r="M34" s="42"/>
      <c r="N34" s="42"/>
      <c r="O34" s="39"/>
      <c r="P34" s="39"/>
      <c r="Q34" s="39"/>
      <c r="R34" s="39"/>
      <c r="S34" s="39"/>
      <c r="T34" s="42"/>
      <c r="U34" s="42"/>
      <c r="V34" s="39"/>
      <c r="W34" s="39"/>
      <c r="X34" s="39"/>
      <c r="Y34" s="39"/>
      <c r="Z34" s="39"/>
      <c r="AA34" s="42"/>
      <c r="AB34" s="42"/>
      <c r="AC34" s="42"/>
      <c r="AD34" s="39"/>
      <c r="AE34" s="39"/>
      <c r="AF34" s="42"/>
      <c r="AG34" s="39"/>
      <c r="AH34" s="42"/>
      <c r="AI34" s="42"/>
      <c r="AJ34" s="39"/>
      <c r="AK34" s="39"/>
      <c r="AL34" s="39"/>
      <c r="AM34" s="39"/>
      <c r="AN34" s="39"/>
      <c r="AO34" s="42"/>
      <c r="AP34" s="42"/>
      <c r="AQ34" s="39"/>
      <c r="AR34" s="39"/>
      <c r="AS34" s="39"/>
      <c r="AT34" s="39"/>
      <c r="AU34" s="39"/>
      <c r="AV34" s="42"/>
      <c r="AW34" s="42"/>
      <c r="AX34" s="42"/>
      <c r="AY34" s="39"/>
      <c r="AZ34" s="39"/>
      <c r="BA34" s="39"/>
      <c r="BB34" s="39"/>
      <c r="BC34" s="42"/>
      <c r="BD34" s="42"/>
      <c r="BE34" s="39"/>
      <c r="BF34" s="39"/>
      <c r="BG34" s="39"/>
      <c r="BH34" s="39"/>
      <c r="BI34" s="39"/>
      <c r="BJ34" s="42"/>
      <c r="BK34" s="42"/>
      <c r="BL34" s="39"/>
      <c r="BM34" s="39"/>
      <c r="BN34" s="39"/>
      <c r="BO34" s="39"/>
      <c r="BP34" s="39"/>
      <c r="BQ34" s="42"/>
      <c r="BR34" s="42"/>
      <c r="BS34" s="38" t="s">
        <v>33</v>
      </c>
    </row>
    <row r="35" spans="1:71" ht="24" customHeight="1" x14ac:dyDescent="0.45">
      <c r="A35" s="82"/>
      <c r="B35" s="73"/>
      <c r="C35" s="74"/>
      <c r="D35" s="83"/>
      <c r="E35" s="75"/>
      <c r="F35" s="58"/>
      <c r="G35" s="58"/>
      <c r="H35" s="58"/>
      <c r="I35" s="77"/>
      <c r="J35" s="38" t="s">
        <v>33</v>
      </c>
      <c r="K35" s="38" t="s">
        <v>33</v>
      </c>
      <c r="L35" s="38" t="s">
        <v>33</v>
      </c>
      <c r="M35" s="38" t="s">
        <v>33</v>
      </c>
      <c r="N35" s="38" t="s">
        <v>33</v>
      </c>
      <c r="O35" s="38" t="s">
        <v>33</v>
      </c>
      <c r="P35" s="38" t="s">
        <v>33</v>
      </c>
      <c r="Q35" s="38" t="s">
        <v>33</v>
      </c>
      <c r="R35" s="38" t="s">
        <v>33</v>
      </c>
      <c r="S35" s="38" t="s">
        <v>33</v>
      </c>
      <c r="T35" s="38" t="s">
        <v>33</v>
      </c>
      <c r="U35" s="38" t="s">
        <v>33</v>
      </c>
      <c r="V35" s="38" t="s">
        <v>33</v>
      </c>
      <c r="W35" s="38" t="s">
        <v>33</v>
      </c>
      <c r="X35" s="38" t="s">
        <v>33</v>
      </c>
      <c r="Y35" s="38" t="s">
        <v>33</v>
      </c>
      <c r="Z35" s="38" t="s">
        <v>33</v>
      </c>
      <c r="AA35" s="38" t="s">
        <v>33</v>
      </c>
      <c r="AB35" s="38" t="s">
        <v>33</v>
      </c>
      <c r="AC35" s="38" t="s">
        <v>33</v>
      </c>
      <c r="AD35" s="38" t="s">
        <v>33</v>
      </c>
      <c r="AE35" s="38" t="s">
        <v>33</v>
      </c>
      <c r="AF35" s="38" t="s">
        <v>33</v>
      </c>
      <c r="AG35" s="38" t="s">
        <v>33</v>
      </c>
      <c r="AH35" s="38" t="s">
        <v>33</v>
      </c>
      <c r="AI35" s="38" t="s">
        <v>33</v>
      </c>
      <c r="AJ35" s="38" t="s">
        <v>33</v>
      </c>
      <c r="AK35" s="38" t="s">
        <v>33</v>
      </c>
      <c r="AL35" s="38" t="s">
        <v>33</v>
      </c>
      <c r="AM35" s="38" t="s">
        <v>33</v>
      </c>
      <c r="AN35" s="38" t="s">
        <v>33</v>
      </c>
      <c r="AO35" s="38" t="s">
        <v>33</v>
      </c>
      <c r="AP35" s="38" t="s">
        <v>33</v>
      </c>
      <c r="AQ35" s="38" t="s">
        <v>33</v>
      </c>
      <c r="AR35" s="38" t="s">
        <v>33</v>
      </c>
      <c r="AS35" s="38" t="s">
        <v>33</v>
      </c>
      <c r="AT35" s="38" t="s">
        <v>33</v>
      </c>
      <c r="AU35" s="38" t="s">
        <v>33</v>
      </c>
      <c r="AV35" s="38" t="s">
        <v>33</v>
      </c>
      <c r="AW35" s="38" t="s">
        <v>33</v>
      </c>
      <c r="AX35" s="38" t="s">
        <v>33</v>
      </c>
      <c r="AY35" s="38" t="s">
        <v>33</v>
      </c>
      <c r="AZ35" s="38" t="s">
        <v>33</v>
      </c>
      <c r="BA35" s="38" t="s">
        <v>33</v>
      </c>
      <c r="BB35" s="38" t="s">
        <v>33</v>
      </c>
      <c r="BC35" s="38" t="s">
        <v>33</v>
      </c>
      <c r="BD35" s="38" t="s">
        <v>33</v>
      </c>
      <c r="BE35" s="38" t="s">
        <v>33</v>
      </c>
      <c r="BF35" s="38" t="s">
        <v>33</v>
      </c>
      <c r="BG35" s="38" t="s">
        <v>33</v>
      </c>
      <c r="BH35" s="38" t="s">
        <v>33</v>
      </c>
      <c r="BI35" s="38" t="s">
        <v>33</v>
      </c>
      <c r="BJ35" s="38" t="s">
        <v>33</v>
      </c>
      <c r="BK35" s="38" t="s">
        <v>33</v>
      </c>
      <c r="BL35" s="38" t="s">
        <v>33</v>
      </c>
      <c r="BM35" s="38" t="s">
        <v>33</v>
      </c>
      <c r="BN35" s="38" t="s">
        <v>33</v>
      </c>
      <c r="BO35" s="38" t="s">
        <v>33</v>
      </c>
      <c r="BP35" s="38" t="s">
        <v>33</v>
      </c>
      <c r="BQ35" s="38" t="s">
        <v>33</v>
      </c>
      <c r="BR35" s="38" t="s">
        <v>33</v>
      </c>
      <c r="BS35" s="38" t="s">
        <v>33</v>
      </c>
    </row>
    <row r="36" spans="1:71" ht="24" customHeight="1" x14ac:dyDescent="0.45">
      <c r="A36" s="82"/>
      <c r="B36" s="67"/>
      <c r="C36" s="68"/>
      <c r="D36" s="83"/>
      <c r="E36" s="69"/>
      <c r="F36" s="70"/>
      <c r="G36" s="71"/>
      <c r="H36" s="72"/>
      <c r="I36" s="79"/>
    </row>
    <row r="37" spans="1:71" ht="24" customHeight="1" x14ac:dyDescent="0.45">
      <c r="A37" s="82"/>
      <c r="B37" s="46"/>
      <c r="C37" s="60"/>
      <c r="D37" s="83"/>
      <c r="E37" s="59"/>
      <c r="F37" s="57"/>
      <c r="G37" s="25"/>
      <c r="H37" s="54"/>
      <c r="I37" s="80"/>
    </row>
    <row r="38" spans="1:71" ht="24" customHeight="1" x14ac:dyDescent="0.45">
      <c r="A38" s="82"/>
      <c r="B38" s="46"/>
      <c r="C38" s="60"/>
      <c r="D38" s="83"/>
      <c r="E38" s="59"/>
      <c r="F38" s="57"/>
      <c r="G38" s="25"/>
      <c r="H38" s="54"/>
      <c r="I38" s="80"/>
    </row>
    <row r="39" spans="1:71" ht="24" customHeight="1" x14ac:dyDescent="0.45">
      <c r="A39" s="82"/>
      <c r="B39" s="46"/>
      <c r="C39" s="60"/>
      <c r="D39" s="83"/>
      <c r="E39" s="59"/>
      <c r="F39" s="57"/>
      <c r="G39" s="25"/>
      <c r="H39" s="54"/>
      <c r="I39" s="80"/>
    </row>
    <row r="40" spans="1:71" ht="24" customHeight="1" x14ac:dyDescent="0.45">
      <c r="A40" s="82"/>
      <c r="B40" s="46"/>
      <c r="C40" s="60"/>
      <c r="D40" s="83"/>
      <c r="E40" s="59"/>
      <c r="F40" s="57"/>
      <c r="G40" s="25"/>
      <c r="H40" s="54"/>
      <c r="I40" s="80"/>
    </row>
    <row r="41" spans="1:71" ht="24" customHeight="1" x14ac:dyDescent="0.45">
      <c r="A41" s="82"/>
      <c r="B41" s="46"/>
      <c r="C41" s="60"/>
      <c r="D41" s="83"/>
      <c r="E41" s="59"/>
      <c r="F41" s="57"/>
      <c r="G41" s="25"/>
      <c r="H41" s="55"/>
      <c r="I41" s="81"/>
    </row>
    <row r="42" spans="1:71" ht="24" customHeight="1" x14ac:dyDescent="0.45">
      <c r="A42" s="82"/>
      <c r="B42" s="46"/>
      <c r="C42" s="60"/>
      <c r="D42" s="83"/>
      <c r="E42" s="59"/>
      <c r="F42" s="57"/>
      <c r="G42" s="25"/>
      <c r="H42" s="55"/>
      <c r="I42" s="81"/>
    </row>
    <row r="43" spans="1:71" ht="24" customHeight="1" x14ac:dyDescent="0.45">
      <c r="A43" s="82"/>
      <c r="B43" s="15"/>
      <c r="C43" s="60"/>
      <c r="D43" s="83"/>
      <c r="E43" s="59"/>
      <c r="F43" s="57"/>
      <c r="G43" s="25"/>
      <c r="H43" s="55"/>
      <c r="I43" s="81"/>
    </row>
    <row r="44" spans="1:71" ht="24" customHeight="1" x14ac:dyDescent="0.45">
      <c r="A44" s="82"/>
      <c r="B44" s="15"/>
      <c r="C44" s="60"/>
      <c r="D44" s="83"/>
      <c r="E44" s="59"/>
      <c r="F44" s="57"/>
      <c r="G44" s="25"/>
      <c r="H44" s="55"/>
      <c r="I44" s="81"/>
    </row>
    <row r="45" spans="1:71" ht="24" customHeight="1" x14ac:dyDescent="0.45">
      <c r="A45" s="82"/>
      <c r="B45" s="15"/>
      <c r="C45" s="60"/>
      <c r="D45" s="83"/>
      <c r="E45" s="59"/>
      <c r="F45" s="57"/>
      <c r="G45" s="25"/>
      <c r="H45" s="55"/>
      <c r="I45" s="81"/>
    </row>
    <row r="46" spans="1:71" ht="24" customHeight="1" x14ac:dyDescent="0.45">
      <c r="A46" s="82"/>
      <c r="B46" s="15"/>
      <c r="C46" s="60"/>
      <c r="D46" s="83"/>
      <c r="E46" s="59"/>
      <c r="F46" s="57"/>
      <c r="G46" s="25"/>
      <c r="H46" s="55"/>
      <c r="I46" s="81"/>
    </row>
    <row r="47" spans="1:71" ht="24" customHeight="1" x14ac:dyDescent="0.45">
      <c r="A47" s="82"/>
      <c r="B47" s="15"/>
      <c r="C47" s="60"/>
      <c r="D47" s="83"/>
      <c r="E47" s="59"/>
      <c r="F47" s="57"/>
      <c r="G47" s="25"/>
      <c r="H47" s="55"/>
      <c r="I47" s="81"/>
    </row>
    <row r="48" spans="1:71" ht="24" customHeight="1" x14ac:dyDescent="0.45">
      <c r="A48" s="82"/>
      <c r="B48" s="15"/>
      <c r="C48" s="60"/>
      <c r="D48" s="83"/>
      <c r="E48" s="24"/>
      <c r="F48" s="57"/>
      <c r="G48" s="25"/>
      <c r="H48" s="55"/>
      <c r="I48" s="81"/>
    </row>
    <row r="49" spans="1:9" ht="24" customHeight="1" x14ac:dyDescent="0.45">
      <c r="A49" s="82"/>
      <c r="B49" s="15"/>
      <c r="C49" s="60"/>
      <c r="D49" s="83"/>
      <c r="E49" s="24"/>
      <c r="F49" s="57"/>
      <c r="G49" s="25"/>
      <c r="H49" s="55"/>
      <c r="I49" s="81"/>
    </row>
    <row r="50" spans="1:9" ht="24" customHeight="1" x14ac:dyDescent="0.45">
      <c r="A50" s="82"/>
      <c r="B50" s="15"/>
      <c r="C50" s="60"/>
      <c r="D50" s="83"/>
      <c r="E50" s="24"/>
      <c r="F50" s="57"/>
      <c r="G50" s="25"/>
      <c r="H50" s="55"/>
      <c r="I50" s="81"/>
    </row>
    <row r="51" spans="1:9" ht="24" customHeight="1" x14ac:dyDescent="0.45">
      <c r="A51" s="82"/>
      <c r="B51" s="15"/>
      <c r="C51" s="60"/>
      <c r="D51" s="83"/>
      <c r="E51" s="24"/>
      <c r="F51" s="57"/>
      <c r="G51" s="25"/>
      <c r="H51" s="55"/>
      <c r="I51" s="81"/>
    </row>
    <row r="52" spans="1:9" ht="24" customHeight="1" x14ac:dyDescent="0.45">
      <c r="A52" s="82"/>
      <c r="B52" s="15"/>
      <c r="C52" s="60"/>
      <c r="D52" s="83"/>
      <c r="E52" s="24"/>
      <c r="F52" s="57"/>
      <c r="G52" s="25"/>
      <c r="H52" s="55"/>
      <c r="I52" s="81"/>
    </row>
    <row r="53" spans="1:9" ht="24" customHeight="1" x14ac:dyDescent="0.45">
      <c r="A53" s="82"/>
      <c r="B53" s="15"/>
      <c r="C53" s="60"/>
      <c r="D53" s="83"/>
      <c r="E53" s="24"/>
      <c r="F53" s="57"/>
      <c r="G53" s="25"/>
      <c r="H53" s="55"/>
      <c r="I53" s="81"/>
    </row>
    <row r="54" spans="1:9" ht="24" customHeight="1" x14ac:dyDescent="0.45">
      <c r="A54" s="82"/>
      <c r="B54" s="15"/>
      <c r="C54" s="60"/>
      <c r="D54" s="83"/>
      <c r="E54" s="24"/>
      <c r="F54" s="57"/>
      <c r="G54" s="25"/>
      <c r="H54" s="55"/>
      <c r="I54" s="81"/>
    </row>
    <row r="55" spans="1:9" ht="24" customHeight="1" x14ac:dyDescent="0.35">
      <c r="A55" s="17"/>
      <c r="B55" s="15"/>
      <c r="C55" s="19"/>
      <c r="D55" s="19"/>
      <c r="E55" s="13"/>
      <c r="F55" s="57"/>
      <c r="G55" s="25"/>
      <c r="H55" s="54"/>
      <c r="I55" s="54"/>
    </row>
    <row r="56" spans="1:9" ht="24" customHeight="1" x14ac:dyDescent="0.35">
      <c r="A56" s="17"/>
      <c r="B56" s="15"/>
      <c r="C56" s="19"/>
      <c r="D56" s="19"/>
      <c r="E56" s="13"/>
      <c r="F56" s="57"/>
      <c r="G56" s="25"/>
      <c r="H56" s="54"/>
      <c r="I56" s="54"/>
    </row>
    <row r="57" spans="1:9" ht="24" customHeight="1" x14ac:dyDescent="0.35">
      <c r="A57" s="17"/>
      <c r="B57" s="15"/>
      <c r="C57" s="19"/>
      <c r="D57" s="19"/>
      <c r="E57" s="13"/>
      <c r="F57" s="57"/>
      <c r="G57" s="25"/>
      <c r="H57" s="54"/>
      <c r="I57" s="54"/>
    </row>
    <row r="58" spans="1:9" ht="24" customHeight="1" x14ac:dyDescent="0.35">
      <c r="A58" s="17"/>
      <c r="B58" s="15"/>
      <c r="C58" s="19"/>
      <c r="D58" s="19"/>
      <c r="E58" s="13"/>
      <c r="F58" s="57"/>
      <c r="G58" s="25"/>
      <c r="H58" s="54"/>
      <c r="I58" s="54"/>
    </row>
    <row r="59" spans="1:9" ht="24" customHeight="1" x14ac:dyDescent="0.35">
      <c r="A59" s="17"/>
      <c r="B59" s="15"/>
      <c r="C59" s="19"/>
      <c r="D59" s="19"/>
      <c r="E59" s="13"/>
      <c r="F59" s="57"/>
      <c r="G59" s="25"/>
      <c r="H59" s="54"/>
      <c r="I59" s="54"/>
    </row>
    <row r="60" spans="1:9" ht="24" customHeight="1" x14ac:dyDescent="0.35">
      <c r="A60" s="17"/>
      <c r="B60" s="15"/>
      <c r="C60" s="19"/>
      <c r="D60" s="19"/>
      <c r="E60" s="13"/>
      <c r="F60" s="57"/>
      <c r="G60" s="25"/>
      <c r="H60" s="54"/>
      <c r="I60" s="54"/>
    </row>
    <row r="61" spans="1:9" ht="24" customHeight="1" x14ac:dyDescent="0.35">
      <c r="A61" s="6"/>
      <c r="B61" s="15"/>
      <c r="C61" s="19"/>
      <c r="D61" s="19"/>
      <c r="E61" s="13"/>
      <c r="F61" s="57"/>
      <c r="G61" s="25"/>
      <c r="H61" s="55"/>
      <c r="I61" s="55"/>
    </row>
    <row r="62" spans="1:9" ht="24" customHeight="1" x14ac:dyDescent="0.35">
      <c r="A62" s="17"/>
      <c r="B62" s="15"/>
      <c r="C62" s="19"/>
      <c r="D62" s="19"/>
      <c r="E62" s="13"/>
      <c r="F62" s="57"/>
      <c r="G62" s="25"/>
      <c r="H62" s="55"/>
      <c r="I62" s="55"/>
    </row>
    <row r="63" spans="1:9" ht="24" customHeight="1" x14ac:dyDescent="0.35">
      <c r="A63" s="6"/>
      <c r="B63" s="15"/>
      <c r="C63" s="19"/>
      <c r="D63" s="19"/>
      <c r="E63" s="13"/>
      <c r="F63" s="57"/>
      <c r="G63" s="25"/>
      <c r="H63" s="55"/>
      <c r="I63" s="55"/>
    </row>
    <row r="64" spans="1:9" ht="24" customHeight="1" x14ac:dyDescent="0.35">
      <c r="A64" s="6"/>
      <c r="B64" s="15"/>
      <c r="C64" s="19"/>
      <c r="D64" s="19"/>
      <c r="E64" s="13"/>
      <c r="F64" s="57"/>
      <c r="G64" s="25"/>
      <c r="H64" s="55"/>
      <c r="I64" s="55"/>
    </row>
    <row r="65" spans="1:9" ht="24" customHeight="1" x14ac:dyDescent="0.35">
      <c r="A65" s="6"/>
      <c r="B65" s="15"/>
      <c r="C65" s="19"/>
      <c r="D65" s="19"/>
      <c r="E65" s="13"/>
      <c r="F65" s="57"/>
      <c r="G65" s="25"/>
      <c r="H65" s="54"/>
      <c r="I65" s="54"/>
    </row>
    <row r="66" spans="1:9" ht="24" customHeight="1" x14ac:dyDescent="0.35">
      <c r="A66" s="6"/>
      <c r="B66" s="15"/>
      <c r="C66" s="16"/>
      <c r="D66" s="19"/>
      <c r="E66" s="13"/>
      <c r="F66" s="57"/>
      <c r="G66" s="25"/>
      <c r="H66" s="55"/>
      <c r="I66" s="55"/>
    </row>
    <row r="67" spans="1:9" ht="24" customHeight="1" x14ac:dyDescent="0.35">
      <c r="A67" s="6"/>
      <c r="B67" s="15"/>
      <c r="C67" s="16"/>
      <c r="D67" s="19"/>
      <c r="E67" s="13"/>
      <c r="F67" s="12"/>
      <c r="G67" s="25"/>
      <c r="H67" s="55"/>
      <c r="I67" s="55"/>
    </row>
    <row r="68" spans="1:9" ht="24" customHeight="1" x14ac:dyDescent="0.35">
      <c r="A68" s="6"/>
      <c r="B68" s="15"/>
      <c r="C68" s="16"/>
      <c r="D68" s="16"/>
      <c r="E68" s="13"/>
      <c r="F68" s="12"/>
      <c r="G68" s="25"/>
      <c r="H68" s="55"/>
      <c r="I68" s="55"/>
    </row>
    <row r="69" spans="1:9" ht="24" customHeight="1" x14ac:dyDescent="0.35">
      <c r="A69" s="6"/>
      <c r="B69" s="15"/>
      <c r="C69" s="16"/>
      <c r="D69" s="16"/>
      <c r="E69" s="13"/>
      <c r="F69" s="12"/>
      <c r="G69" s="25"/>
      <c r="H69" s="55"/>
      <c r="I69" s="55"/>
    </row>
    <row r="70" spans="1:9" ht="24" customHeight="1" x14ac:dyDescent="0.35">
      <c r="A70" s="6"/>
      <c r="B70" s="15"/>
      <c r="C70" s="16"/>
      <c r="D70" s="16"/>
      <c r="E70" s="13"/>
      <c r="F70" s="12"/>
      <c r="G70" s="25"/>
      <c r="H70" s="55"/>
      <c r="I70" s="55"/>
    </row>
    <row r="71" spans="1:9" ht="24" customHeight="1" x14ac:dyDescent="0.35">
      <c r="A71" s="6"/>
      <c r="B71" s="15"/>
      <c r="C71" s="16"/>
      <c r="D71" s="16"/>
      <c r="E71" s="13"/>
      <c r="F71" s="12"/>
      <c r="G71" s="25"/>
      <c r="H71" s="55"/>
      <c r="I71" s="55"/>
    </row>
    <row r="72" spans="1:9" ht="24" customHeight="1" x14ac:dyDescent="0.35">
      <c r="A72" s="6"/>
      <c r="B72" s="15"/>
      <c r="C72" s="16"/>
      <c r="D72" s="16"/>
      <c r="E72" s="13"/>
      <c r="F72" s="12"/>
      <c r="G72" s="25"/>
      <c r="H72" s="55"/>
      <c r="I72" s="55"/>
    </row>
    <row r="73" spans="1:9" ht="24" customHeight="1" x14ac:dyDescent="0.35">
      <c r="A73" s="6"/>
      <c r="B73" s="15"/>
      <c r="C73" s="16"/>
      <c r="D73" s="16"/>
      <c r="E73" s="13"/>
      <c r="F73" s="12"/>
      <c r="G73" s="25"/>
      <c r="H73" s="55"/>
      <c r="I73" s="55"/>
    </row>
    <row r="74" spans="1:9" ht="24" customHeight="1" x14ac:dyDescent="0.35">
      <c r="A74" s="6"/>
      <c r="B74" s="15"/>
      <c r="C74" s="16"/>
      <c r="D74" s="16"/>
      <c r="E74" s="13"/>
      <c r="F74" s="12"/>
      <c r="G74" s="25"/>
      <c r="H74" s="55"/>
      <c r="I74" s="55"/>
    </row>
    <row r="75" spans="1:9" ht="24" customHeight="1" x14ac:dyDescent="0.35">
      <c r="A75" s="6"/>
      <c r="B75" s="15"/>
      <c r="C75" s="16"/>
      <c r="D75" s="16"/>
      <c r="E75" s="13"/>
      <c r="F75" s="12"/>
      <c r="G75" s="25"/>
      <c r="H75" s="55"/>
      <c r="I75" s="55"/>
    </row>
    <row r="76" spans="1:9" ht="24" customHeight="1" x14ac:dyDescent="0.35">
      <c r="A76" s="6"/>
      <c r="B76" s="15"/>
      <c r="C76" s="16"/>
      <c r="D76" s="16"/>
      <c r="E76" s="13"/>
      <c r="F76" s="12"/>
      <c r="G76" s="25"/>
      <c r="H76" s="55"/>
      <c r="I76" s="55"/>
    </row>
    <row r="77" spans="1:9" ht="24" customHeight="1" x14ac:dyDescent="0.35">
      <c r="A77" s="6"/>
      <c r="B77" s="15"/>
      <c r="C77" s="16"/>
      <c r="D77" s="16"/>
      <c r="E77" s="13"/>
      <c r="F77" s="12"/>
      <c r="G77" s="25"/>
      <c r="H77" s="55"/>
      <c r="I77" s="55"/>
    </row>
    <row r="78" spans="1:9" ht="24" customHeight="1" x14ac:dyDescent="0.35">
      <c r="A78" s="6"/>
      <c r="B78" s="15"/>
      <c r="C78" s="16"/>
      <c r="D78" s="16"/>
      <c r="E78" s="13"/>
      <c r="F78" s="12"/>
      <c r="G78" s="25"/>
      <c r="H78" s="55"/>
      <c r="I78" s="55"/>
    </row>
    <row r="79" spans="1:9" ht="24" customHeight="1" x14ac:dyDescent="0.35">
      <c r="A79" s="6"/>
      <c r="B79" s="15"/>
      <c r="C79" s="16"/>
      <c r="D79" s="16"/>
      <c r="E79" s="13"/>
      <c r="F79" s="12"/>
      <c r="G79" s="25"/>
      <c r="H79" s="55"/>
      <c r="I79" s="55"/>
    </row>
    <row r="80" spans="1:9" ht="24" customHeight="1" x14ac:dyDescent="0.35">
      <c r="A80" s="6"/>
      <c r="B80" s="15"/>
      <c r="C80" s="16"/>
      <c r="D80" s="16"/>
      <c r="E80" s="13"/>
      <c r="F80" s="12"/>
      <c r="G80" s="25"/>
      <c r="H80" s="55"/>
      <c r="I80" s="55"/>
    </row>
    <row r="81" spans="1:9" ht="24" customHeight="1" x14ac:dyDescent="0.35">
      <c r="A81" s="6"/>
      <c r="B81" s="15"/>
      <c r="C81" s="16"/>
      <c r="D81" s="16"/>
      <c r="E81" s="13"/>
      <c r="F81" s="12"/>
      <c r="G81" s="25"/>
      <c r="H81" s="55"/>
      <c r="I81" s="55"/>
    </row>
    <row r="82" spans="1:9" ht="24" customHeight="1" x14ac:dyDescent="0.35">
      <c r="A82" s="6"/>
      <c r="B82" s="15"/>
      <c r="C82" s="16"/>
      <c r="D82" s="16"/>
      <c r="E82" s="13"/>
      <c r="F82" s="12"/>
      <c r="G82" s="25"/>
      <c r="H82" s="55"/>
      <c r="I82" s="55"/>
    </row>
    <row r="83" spans="1:9" ht="24" customHeight="1" x14ac:dyDescent="0.35">
      <c r="A83" s="6"/>
      <c r="B83" s="15"/>
      <c r="C83" s="16"/>
      <c r="D83" s="16"/>
      <c r="E83" s="13"/>
      <c r="F83" s="12"/>
      <c r="G83" s="25"/>
      <c r="H83" s="55"/>
      <c r="I83" s="55"/>
    </row>
    <row r="84" spans="1:9" ht="24" customHeight="1" x14ac:dyDescent="0.35">
      <c r="A84" s="6"/>
      <c r="B84" s="15"/>
      <c r="C84" s="16"/>
      <c r="D84" s="16"/>
      <c r="E84" s="13"/>
      <c r="F84" s="12"/>
      <c r="G84" s="25"/>
      <c r="H84" s="55"/>
      <c r="I84" s="55"/>
    </row>
    <row r="85" spans="1:9" ht="24" customHeight="1" x14ac:dyDescent="0.35">
      <c r="A85" s="6"/>
      <c r="B85" s="15"/>
      <c r="C85" s="16"/>
      <c r="D85" s="16"/>
      <c r="E85" s="13"/>
      <c r="F85" s="12"/>
      <c r="G85" s="25"/>
      <c r="H85" s="55"/>
      <c r="I85" s="55"/>
    </row>
    <row r="86" spans="1:9" ht="24" customHeight="1" x14ac:dyDescent="0.35">
      <c r="A86" s="6"/>
      <c r="B86" s="15"/>
      <c r="C86" s="16"/>
      <c r="D86" s="16"/>
      <c r="E86" s="13"/>
      <c r="F86" s="12"/>
      <c r="G86" s="25"/>
      <c r="H86" s="55"/>
      <c r="I86" s="55"/>
    </row>
    <row r="87" spans="1:9" ht="24" customHeight="1" x14ac:dyDescent="0.35">
      <c r="A87" s="6"/>
      <c r="B87" s="15"/>
      <c r="C87" s="16"/>
      <c r="D87" s="16"/>
      <c r="E87" s="13"/>
      <c r="F87" s="12"/>
      <c r="G87" s="25"/>
      <c r="H87" s="54"/>
      <c r="I87" s="54"/>
    </row>
    <row r="88" spans="1:9" ht="24" customHeight="1" x14ac:dyDescent="0.35">
      <c r="A88" s="6"/>
      <c r="B88" s="15"/>
      <c r="C88" s="16"/>
      <c r="D88" s="16"/>
      <c r="E88" s="13"/>
      <c r="F88" s="12"/>
      <c r="G88" s="25"/>
      <c r="H88" s="55"/>
      <c r="I88" s="55"/>
    </row>
    <row r="89" spans="1:9" ht="24" customHeight="1" x14ac:dyDescent="0.35">
      <c r="A89" s="6"/>
      <c r="B89" s="15"/>
      <c r="C89" s="18"/>
      <c r="D89" s="16"/>
      <c r="E89" s="13"/>
      <c r="F89" s="12"/>
      <c r="G89" s="25"/>
      <c r="H89" s="55"/>
      <c r="I89" s="55"/>
    </row>
    <row r="90" spans="1:9" ht="24" customHeight="1" x14ac:dyDescent="0.35">
      <c r="A90" s="6"/>
      <c r="B90" s="15"/>
      <c r="C90" s="18"/>
      <c r="D90" s="16"/>
      <c r="E90" s="13"/>
      <c r="F90" s="12"/>
      <c r="G90" s="25"/>
      <c r="H90" s="55"/>
      <c r="I90" s="55"/>
    </row>
    <row r="91" spans="1:9" ht="24" customHeight="1" x14ac:dyDescent="0.35">
      <c r="A91" s="17"/>
      <c r="B91" s="15"/>
      <c r="C91" s="18"/>
      <c r="D91" s="16"/>
      <c r="E91" s="13"/>
      <c r="F91" s="12"/>
      <c r="G91" s="25"/>
      <c r="H91" s="55"/>
      <c r="I91" s="55"/>
    </row>
    <row r="92" spans="1:9" ht="24" customHeight="1" x14ac:dyDescent="0.35">
      <c r="A92" s="17"/>
      <c r="B92" s="15"/>
      <c r="C92" s="18"/>
      <c r="D92" s="16"/>
      <c r="E92" s="13"/>
      <c r="F92" s="12"/>
      <c r="G92" s="25"/>
      <c r="H92" s="55"/>
      <c r="I92" s="55"/>
    </row>
    <row r="93" spans="1:9" ht="24" customHeight="1" x14ac:dyDescent="0.35">
      <c r="A93" s="17"/>
      <c r="B93" s="15"/>
      <c r="C93" s="18"/>
      <c r="D93" s="16"/>
      <c r="E93" s="13"/>
      <c r="F93" s="12"/>
      <c r="G93" s="25"/>
      <c r="H93" s="55"/>
      <c r="I93" s="55"/>
    </row>
    <row r="94" spans="1:9" ht="24" customHeight="1" x14ac:dyDescent="0.35">
      <c r="A94" s="17"/>
      <c r="B94" s="15"/>
      <c r="C94" s="18"/>
      <c r="D94" s="16"/>
      <c r="E94" s="13"/>
      <c r="F94" s="12"/>
      <c r="G94" s="25"/>
      <c r="H94" s="55"/>
      <c r="I94" s="55"/>
    </row>
    <row r="95" spans="1:9" ht="24" customHeight="1" x14ac:dyDescent="0.35">
      <c r="A95" s="17"/>
      <c r="B95" s="15"/>
      <c r="C95" s="18"/>
      <c r="D95" s="16"/>
      <c r="E95" s="13"/>
      <c r="F95" s="12"/>
      <c r="G95" s="25"/>
      <c r="H95" s="55"/>
      <c r="I95" s="55"/>
    </row>
    <row r="96" spans="1:9" ht="24" customHeight="1" x14ac:dyDescent="0.35">
      <c r="A96" s="17"/>
      <c r="B96" s="15"/>
      <c r="C96" s="18"/>
      <c r="D96" s="16"/>
      <c r="E96" s="13"/>
      <c r="F96" s="12"/>
      <c r="G96" s="25"/>
      <c r="H96" s="55"/>
      <c r="I96" s="55"/>
    </row>
    <row r="97" spans="1:9" ht="24" customHeight="1" x14ac:dyDescent="0.35">
      <c r="A97" s="17"/>
      <c r="B97" s="15"/>
      <c r="C97" s="18"/>
      <c r="D97" s="16"/>
      <c r="E97" s="13"/>
      <c r="F97" s="12"/>
      <c r="G97" s="25"/>
      <c r="H97" s="55"/>
      <c r="I97" s="55"/>
    </row>
    <row r="98" spans="1:9" ht="24" customHeight="1" x14ac:dyDescent="0.35">
      <c r="A98" s="17"/>
      <c r="B98" s="15"/>
      <c r="C98" s="18"/>
      <c r="D98" s="16"/>
      <c r="E98" s="13"/>
      <c r="F98" s="12"/>
      <c r="G98" s="25"/>
      <c r="H98" s="55"/>
      <c r="I98" s="55"/>
    </row>
    <row r="99" spans="1:9" ht="24" customHeight="1" x14ac:dyDescent="0.35">
      <c r="A99" s="17"/>
      <c r="B99" s="15"/>
      <c r="C99" s="18"/>
      <c r="D99" s="16"/>
      <c r="E99" s="13"/>
      <c r="F99" s="12"/>
      <c r="G99" s="25"/>
      <c r="H99" s="55"/>
      <c r="I99" s="55"/>
    </row>
    <row r="100" spans="1:9" ht="24" customHeight="1" x14ac:dyDescent="0.35">
      <c r="A100" s="17"/>
      <c r="B100" s="15"/>
      <c r="C100" s="18"/>
      <c r="D100" s="16"/>
      <c r="E100" s="13"/>
      <c r="F100" s="12"/>
      <c r="G100" s="25"/>
      <c r="H100" s="55"/>
      <c r="I100" s="55"/>
    </row>
  </sheetData>
  <dataConsolidate/>
  <mergeCells count="1">
    <mergeCell ref="D2:E2"/>
  </mergeCells>
  <phoneticPr fontId="3"/>
  <conditionalFormatting sqref="E10">
    <cfRule type="expression" dxfId="1" priority="21">
      <formula>#REF!=TODAY( )</formula>
    </cfRule>
  </conditionalFormatting>
  <dataValidations count="2">
    <dataValidation type="date" allowBlank="1" showInputMessage="1" showErrorMessage="1" sqref="F2:G2" xr:uid="{75375A62-773B-4DD9-B76A-8029FF37D29A}">
      <formula1>1</formula1>
      <formula2>2958465</formula2>
    </dataValidation>
    <dataValidation type="whole" allowBlank="1" showInputMessage="1" showErrorMessage="1" sqref="E5:E100" xr:uid="{AD0AA6A5-6F6F-4611-98AC-A3A0C67F0D09}">
      <formula1>0</formula1>
      <formula2>999</formula2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1</xdr:col>
                    <xdr:colOff>152400</xdr:colOff>
                    <xdr:row>0</xdr:row>
                    <xdr:rowOff>190500</xdr:rowOff>
                  </from>
                  <to>
                    <xdr:col>2</xdr:col>
                    <xdr:colOff>657225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'Init True'">
                <anchor moveWithCells="1" sizeWithCells="1">
                  <from>
                    <xdr:col>2</xdr:col>
                    <xdr:colOff>857250</xdr:colOff>
                    <xdr:row>0</xdr:row>
                    <xdr:rowOff>200025</xdr:rowOff>
                  </from>
                  <to>
                    <xdr:col>2</xdr:col>
                    <xdr:colOff>1838325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shapesdel_StraightArrowConnector">
                <anchor moveWithCells="1">
                  <from>
                    <xdr:col>3</xdr:col>
                    <xdr:colOff>47625</xdr:colOff>
                    <xdr:row>0</xdr:row>
                    <xdr:rowOff>209550</xdr:rowOff>
                  </from>
                  <to>
                    <xdr:col>3</xdr:col>
                    <xdr:colOff>838200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E101"/>
  <sheetViews>
    <sheetView zoomScale="85" zoomScaleNormal="85" workbookViewId="0">
      <selection activeCell="F16" sqref="F16"/>
    </sheetView>
  </sheetViews>
  <sheetFormatPr defaultColWidth="9" defaultRowHeight="16.5" x14ac:dyDescent="0.15"/>
  <cols>
    <col min="1" max="1" width="3.5" style="1" customWidth="1"/>
    <col min="2" max="2" width="12.75" style="9" bestFit="1" customWidth="1"/>
    <col min="3" max="3" width="20.375" style="9" customWidth="1"/>
    <col min="4" max="4" width="27.125" style="1" customWidth="1"/>
    <col min="5" max="5" width="5.25" style="1" customWidth="1"/>
    <col min="6" max="16384" width="9" style="1"/>
  </cols>
  <sheetData>
    <row r="1" spans="2:5" x14ac:dyDescent="0.15">
      <c r="B1" s="1"/>
      <c r="C1" s="1"/>
      <c r="D1" s="22"/>
    </row>
    <row r="2" spans="2:5" x14ac:dyDescent="0.15">
      <c r="B2" s="49" t="s">
        <v>4</v>
      </c>
      <c r="C2" s="50"/>
      <c r="D2" s="2" t="s">
        <v>0</v>
      </c>
    </row>
    <row r="3" spans="2:5" ht="19.5" x14ac:dyDescent="0.15">
      <c r="B3" s="10">
        <v>44197</v>
      </c>
      <c r="C3" s="11" t="s">
        <v>5</v>
      </c>
      <c r="D3" s="10"/>
      <c r="E3" s="3"/>
    </row>
    <row r="4" spans="2:5" ht="19.5" x14ac:dyDescent="0.15">
      <c r="B4" s="10">
        <v>44207</v>
      </c>
      <c r="C4" s="11" t="s">
        <v>6</v>
      </c>
      <c r="D4" s="10"/>
      <c r="E4" s="3"/>
    </row>
    <row r="5" spans="2:5" ht="19.5" x14ac:dyDescent="0.15">
      <c r="B5" s="10">
        <v>44238</v>
      </c>
      <c r="C5" s="11" t="s">
        <v>7</v>
      </c>
      <c r="D5" s="10"/>
      <c r="E5" s="3"/>
    </row>
    <row r="6" spans="2:5" ht="19.5" x14ac:dyDescent="0.15">
      <c r="B6" s="10">
        <v>44250</v>
      </c>
      <c r="C6" s="11" t="s">
        <v>19</v>
      </c>
      <c r="D6" s="10"/>
      <c r="E6" s="3"/>
    </row>
    <row r="7" spans="2:5" ht="19.5" x14ac:dyDescent="0.15">
      <c r="B7" s="10">
        <v>44275</v>
      </c>
      <c r="C7" s="11" t="s">
        <v>8</v>
      </c>
      <c r="D7" s="10"/>
      <c r="E7" s="3"/>
    </row>
    <row r="8" spans="2:5" ht="19.5" x14ac:dyDescent="0.15">
      <c r="B8" s="10">
        <v>44315</v>
      </c>
      <c r="C8" s="11" t="s">
        <v>9</v>
      </c>
      <c r="D8" s="10"/>
      <c r="E8" s="3"/>
    </row>
    <row r="9" spans="2:5" ht="19.5" x14ac:dyDescent="0.15">
      <c r="B9" s="10">
        <v>44319</v>
      </c>
      <c r="C9" s="11" t="s">
        <v>10</v>
      </c>
      <c r="D9" s="10"/>
      <c r="E9" s="3"/>
    </row>
    <row r="10" spans="2:5" ht="19.5" x14ac:dyDescent="0.15">
      <c r="B10" s="10">
        <v>44320</v>
      </c>
      <c r="C10" s="11" t="s">
        <v>11</v>
      </c>
      <c r="D10" s="10"/>
      <c r="E10" s="3"/>
    </row>
    <row r="11" spans="2:5" ht="19.5" x14ac:dyDescent="0.15">
      <c r="B11" s="10">
        <v>44321</v>
      </c>
      <c r="C11" s="11" t="s">
        <v>12</v>
      </c>
      <c r="D11" s="10"/>
      <c r="E11" s="3"/>
    </row>
    <row r="12" spans="2:5" ht="19.5" x14ac:dyDescent="0.15">
      <c r="B12" s="10">
        <v>44396</v>
      </c>
      <c r="C12" s="11" t="s">
        <v>13</v>
      </c>
      <c r="D12" s="10"/>
      <c r="E12" s="3"/>
    </row>
    <row r="13" spans="2:5" ht="19.5" x14ac:dyDescent="0.15">
      <c r="B13" s="10">
        <v>44419</v>
      </c>
      <c r="C13" s="11" t="s">
        <v>14</v>
      </c>
      <c r="D13" s="10"/>
      <c r="E13" s="3"/>
    </row>
    <row r="14" spans="2:5" ht="19.5" x14ac:dyDescent="0.15">
      <c r="B14" s="10">
        <v>44459</v>
      </c>
      <c r="C14" s="11" t="s">
        <v>15</v>
      </c>
      <c r="D14" s="10"/>
      <c r="E14" s="3"/>
    </row>
    <row r="15" spans="2:5" ht="19.5" x14ac:dyDescent="0.15">
      <c r="B15" s="10">
        <v>44462</v>
      </c>
      <c r="C15" s="11" t="s">
        <v>16</v>
      </c>
      <c r="D15" s="10"/>
      <c r="E15" s="3"/>
    </row>
    <row r="16" spans="2:5" ht="19.5" x14ac:dyDescent="0.15">
      <c r="B16" s="10">
        <v>44480</v>
      </c>
      <c r="C16" s="11" t="s">
        <v>20</v>
      </c>
      <c r="D16" s="10"/>
      <c r="E16" s="3"/>
    </row>
    <row r="17" spans="2:5" ht="19.5" x14ac:dyDescent="0.15">
      <c r="B17" s="10">
        <v>44503</v>
      </c>
      <c r="C17" s="11" t="s">
        <v>17</v>
      </c>
      <c r="D17" s="10"/>
      <c r="E17" s="3"/>
    </row>
    <row r="18" spans="2:5" ht="19.5" x14ac:dyDescent="0.15">
      <c r="B18" s="10">
        <v>44523</v>
      </c>
      <c r="C18" s="11" t="s">
        <v>18</v>
      </c>
      <c r="D18" s="10"/>
      <c r="E18" s="3"/>
    </row>
    <row r="19" spans="2:5" ht="19.5" x14ac:dyDescent="0.15">
      <c r="B19" s="10">
        <v>44562</v>
      </c>
      <c r="C19" s="11" t="s">
        <v>5</v>
      </c>
      <c r="D19" s="10"/>
      <c r="E19" s="3"/>
    </row>
    <row r="20" spans="2:5" ht="19.5" x14ac:dyDescent="0.15">
      <c r="B20" s="10">
        <v>44571</v>
      </c>
      <c r="C20" s="11" t="s">
        <v>6</v>
      </c>
      <c r="D20" s="10"/>
      <c r="E20" s="3"/>
    </row>
    <row r="21" spans="2:5" ht="19.5" x14ac:dyDescent="0.15">
      <c r="B21" s="10">
        <v>44603</v>
      </c>
      <c r="C21" s="11" t="s">
        <v>7</v>
      </c>
      <c r="D21" s="10"/>
      <c r="E21" s="3"/>
    </row>
    <row r="22" spans="2:5" ht="19.5" x14ac:dyDescent="0.15">
      <c r="B22" s="10">
        <v>44615</v>
      </c>
      <c r="C22" s="11" t="s">
        <v>19</v>
      </c>
      <c r="D22" s="10"/>
      <c r="E22" s="3"/>
    </row>
    <row r="23" spans="2:5" ht="19.5" x14ac:dyDescent="0.15">
      <c r="B23" s="10">
        <v>44641</v>
      </c>
      <c r="C23" s="11" t="s">
        <v>8</v>
      </c>
      <c r="D23" s="10"/>
      <c r="E23" s="3"/>
    </row>
    <row r="24" spans="2:5" ht="19.5" x14ac:dyDescent="0.15">
      <c r="B24" s="10">
        <v>44680</v>
      </c>
      <c r="C24" s="11" t="s">
        <v>9</v>
      </c>
      <c r="D24" s="10"/>
      <c r="E24" s="3"/>
    </row>
    <row r="25" spans="2:5" ht="19.5" x14ac:dyDescent="0.15">
      <c r="B25" s="10">
        <v>44684</v>
      </c>
      <c r="C25" s="11" t="s">
        <v>10</v>
      </c>
      <c r="D25" s="10"/>
      <c r="E25" s="3"/>
    </row>
    <row r="26" spans="2:5" ht="19.5" x14ac:dyDescent="0.15">
      <c r="B26" s="10">
        <v>44685</v>
      </c>
      <c r="C26" s="11" t="s">
        <v>11</v>
      </c>
      <c r="D26" s="10"/>
      <c r="E26" s="3"/>
    </row>
    <row r="27" spans="2:5" ht="19.5" x14ac:dyDescent="0.15">
      <c r="B27" s="10">
        <v>44686</v>
      </c>
      <c r="C27" s="11" t="s">
        <v>12</v>
      </c>
      <c r="D27" s="10"/>
      <c r="E27" s="3"/>
    </row>
    <row r="28" spans="2:5" ht="19.5" x14ac:dyDescent="0.15">
      <c r="B28" s="10">
        <v>44760</v>
      </c>
      <c r="C28" s="11" t="s">
        <v>13</v>
      </c>
      <c r="D28" s="10"/>
      <c r="E28" s="3"/>
    </row>
    <row r="29" spans="2:5" ht="19.5" x14ac:dyDescent="0.15">
      <c r="B29" s="10">
        <v>44784</v>
      </c>
      <c r="C29" s="11" t="s">
        <v>14</v>
      </c>
      <c r="D29" s="10"/>
      <c r="E29" s="3"/>
    </row>
    <row r="30" spans="2:5" ht="19.5" x14ac:dyDescent="0.15">
      <c r="B30" s="10">
        <v>44823</v>
      </c>
      <c r="C30" s="11" t="s">
        <v>15</v>
      </c>
      <c r="D30" s="10"/>
      <c r="E30" s="3"/>
    </row>
    <row r="31" spans="2:5" ht="19.5" x14ac:dyDescent="0.15">
      <c r="B31" s="10">
        <v>44827</v>
      </c>
      <c r="C31" s="11" t="s">
        <v>16</v>
      </c>
      <c r="D31" s="10"/>
      <c r="E31" s="3"/>
    </row>
    <row r="32" spans="2:5" ht="19.5" x14ac:dyDescent="0.15">
      <c r="B32" s="10">
        <v>44844</v>
      </c>
      <c r="C32" s="11" t="s">
        <v>20</v>
      </c>
      <c r="D32" s="10"/>
      <c r="E32" s="3"/>
    </row>
    <row r="33" spans="2:5" ht="19.5" x14ac:dyDescent="0.15">
      <c r="B33" s="10">
        <v>44868</v>
      </c>
      <c r="C33" s="11" t="s">
        <v>17</v>
      </c>
      <c r="D33" s="10"/>
      <c r="E33" s="3"/>
    </row>
    <row r="34" spans="2:5" ht="19.5" x14ac:dyDescent="0.15">
      <c r="B34" s="10">
        <v>44888</v>
      </c>
      <c r="C34" s="11" t="s">
        <v>18</v>
      </c>
      <c r="D34" s="10"/>
      <c r="E34" s="3"/>
    </row>
    <row r="35" spans="2:5" ht="19.5" x14ac:dyDescent="0.15">
      <c r="B35" s="10"/>
      <c r="C35" s="11"/>
      <c r="D35" s="10"/>
      <c r="E35" s="3"/>
    </row>
    <row r="36" spans="2:5" ht="19.5" x14ac:dyDescent="0.15">
      <c r="B36" s="10"/>
      <c r="C36" s="11"/>
      <c r="D36" s="10"/>
      <c r="E36" s="3"/>
    </row>
    <row r="37" spans="2:5" ht="19.5" x14ac:dyDescent="0.15">
      <c r="B37" s="10"/>
      <c r="C37" s="11"/>
      <c r="D37" s="10"/>
      <c r="E37" s="3"/>
    </row>
    <row r="38" spans="2:5" ht="19.5" x14ac:dyDescent="0.15">
      <c r="B38" s="10"/>
      <c r="C38" s="11"/>
      <c r="D38" s="10"/>
      <c r="E38" s="3"/>
    </row>
    <row r="39" spans="2:5" ht="19.5" x14ac:dyDescent="0.15">
      <c r="B39" s="10"/>
      <c r="C39" s="11"/>
      <c r="D39" s="10"/>
      <c r="E39" s="3"/>
    </row>
    <row r="40" spans="2:5" ht="19.5" x14ac:dyDescent="0.15">
      <c r="B40" s="10"/>
      <c r="C40" s="11"/>
      <c r="D40" s="10"/>
      <c r="E40" s="3"/>
    </row>
    <row r="41" spans="2:5" ht="19.5" x14ac:dyDescent="0.15">
      <c r="B41" s="10"/>
      <c r="C41" s="11"/>
      <c r="D41" s="10"/>
      <c r="E41" s="3"/>
    </row>
    <row r="42" spans="2:5" ht="19.5" x14ac:dyDescent="0.15">
      <c r="B42" s="10"/>
      <c r="C42" s="11"/>
      <c r="D42" s="10"/>
      <c r="E42" s="3"/>
    </row>
    <row r="43" spans="2:5" ht="19.5" x14ac:dyDescent="0.15">
      <c r="B43" s="10"/>
      <c r="C43" s="11"/>
      <c r="D43" s="10"/>
      <c r="E43" s="3"/>
    </row>
    <row r="44" spans="2:5" ht="19.5" x14ac:dyDescent="0.15">
      <c r="B44" s="10"/>
      <c r="C44" s="11"/>
      <c r="D44" s="10"/>
      <c r="E44" s="3"/>
    </row>
    <row r="45" spans="2:5" ht="19.5" x14ac:dyDescent="0.15">
      <c r="B45" s="10"/>
      <c r="C45" s="11"/>
      <c r="D45" s="10"/>
      <c r="E45" s="3"/>
    </row>
    <row r="46" spans="2:5" ht="19.5" x14ac:dyDescent="0.15">
      <c r="B46" s="10"/>
      <c r="C46" s="11"/>
      <c r="D46" s="10"/>
      <c r="E46" s="3"/>
    </row>
    <row r="47" spans="2:5" ht="19.5" x14ac:dyDescent="0.15">
      <c r="B47" s="10"/>
      <c r="C47" s="11"/>
      <c r="D47" s="10"/>
      <c r="E47" s="3"/>
    </row>
    <row r="48" spans="2:5" ht="19.5" x14ac:dyDescent="0.15">
      <c r="B48" s="10"/>
      <c r="C48" s="11"/>
      <c r="D48" s="10"/>
      <c r="E48" s="3"/>
    </row>
    <row r="49" spans="2:5" ht="19.5" x14ac:dyDescent="0.15">
      <c r="B49" s="10"/>
      <c r="C49" s="11"/>
      <c r="D49" s="10"/>
      <c r="E49" s="3"/>
    </row>
    <row r="50" spans="2:5" ht="19.5" x14ac:dyDescent="0.15">
      <c r="B50" s="10"/>
      <c r="C50" s="11"/>
      <c r="D50" s="10"/>
      <c r="E50" s="3"/>
    </row>
    <row r="51" spans="2:5" ht="19.5" x14ac:dyDescent="0.15">
      <c r="B51" s="10"/>
      <c r="C51" s="11"/>
      <c r="D51" s="10"/>
      <c r="E51" s="3"/>
    </row>
    <row r="52" spans="2:5" ht="19.5" x14ac:dyDescent="0.15">
      <c r="B52" s="10"/>
      <c r="C52" s="11"/>
      <c r="D52" s="10"/>
      <c r="E52" s="3"/>
    </row>
    <row r="53" spans="2:5" ht="19.5" x14ac:dyDescent="0.15">
      <c r="B53" s="10"/>
      <c r="C53" s="11"/>
      <c r="D53" s="10"/>
      <c r="E53" s="3"/>
    </row>
    <row r="54" spans="2:5" ht="19.5" x14ac:dyDescent="0.15">
      <c r="B54" s="10"/>
      <c r="C54" s="11"/>
      <c r="D54" s="10"/>
      <c r="E54" s="3"/>
    </row>
    <row r="55" spans="2:5" ht="19.5" x14ac:dyDescent="0.15">
      <c r="B55" s="10"/>
      <c r="C55" s="11"/>
      <c r="D55" s="10"/>
      <c r="E55" s="3"/>
    </row>
    <row r="56" spans="2:5" ht="19.5" x14ac:dyDescent="0.15">
      <c r="B56" s="10"/>
      <c r="C56" s="11"/>
      <c r="D56" s="10"/>
      <c r="E56" s="3"/>
    </row>
    <row r="57" spans="2:5" ht="19.5" x14ac:dyDescent="0.15">
      <c r="B57" s="10"/>
      <c r="C57" s="11"/>
      <c r="D57" s="10"/>
      <c r="E57" s="3"/>
    </row>
    <row r="58" spans="2:5" ht="19.5" x14ac:dyDescent="0.15">
      <c r="B58" s="10"/>
      <c r="C58" s="11"/>
      <c r="D58" s="10"/>
      <c r="E58" s="3"/>
    </row>
    <row r="59" spans="2:5" ht="19.5" x14ac:dyDescent="0.15">
      <c r="B59" s="10"/>
      <c r="C59" s="11"/>
      <c r="D59" s="10"/>
      <c r="E59" s="3"/>
    </row>
    <row r="60" spans="2:5" ht="19.5" x14ac:dyDescent="0.15">
      <c r="B60" s="10"/>
      <c r="C60" s="11"/>
      <c r="D60" s="10"/>
      <c r="E60" s="3"/>
    </row>
    <row r="61" spans="2:5" ht="19.5" x14ac:dyDescent="0.15">
      <c r="B61" s="10"/>
      <c r="C61" s="11"/>
      <c r="D61" s="10"/>
      <c r="E61" s="3"/>
    </row>
    <row r="62" spans="2:5" ht="19.5" x14ac:dyDescent="0.15">
      <c r="B62" s="10"/>
      <c r="C62" s="11"/>
      <c r="D62" s="10"/>
      <c r="E62" s="3"/>
    </row>
    <row r="63" spans="2:5" ht="19.5" x14ac:dyDescent="0.15">
      <c r="B63" s="10"/>
      <c r="C63" s="11"/>
      <c r="D63" s="10"/>
      <c r="E63" s="3"/>
    </row>
    <row r="64" spans="2:5" ht="19.5" x14ac:dyDescent="0.15">
      <c r="B64" s="10"/>
      <c r="C64" s="11"/>
      <c r="D64" s="10"/>
      <c r="E64" s="3"/>
    </row>
    <row r="65" spans="2:5" ht="19.5" x14ac:dyDescent="0.15">
      <c r="B65" s="10"/>
      <c r="C65" s="11"/>
      <c r="D65" s="10"/>
      <c r="E65" s="3"/>
    </row>
    <row r="66" spans="2:5" ht="19.5" x14ac:dyDescent="0.15">
      <c r="B66" s="10"/>
      <c r="C66" s="11"/>
      <c r="D66" s="10"/>
      <c r="E66" s="3"/>
    </row>
    <row r="67" spans="2:5" ht="19.5" x14ac:dyDescent="0.15">
      <c r="B67" s="10"/>
      <c r="C67" s="11"/>
      <c r="D67" s="10"/>
      <c r="E67" s="3"/>
    </row>
    <row r="68" spans="2:5" ht="19.5" x14ac:dyDescent="0.15">
      <c r="B68" s="10"/>
      <c r="C68" s="11"/>
      <c r="D68" s="10"/>
      <c r="E68" s="3"/>
    </row>
    <row r="69" spans="2:5" ht="19.5" x14ac:dyDescent="0.15">
      <c r="B69" s="10"/>
      <c r="C69" s="11"/>
      <c r="D69" s="10"/>
      <c r="E69" s="3"/>
    </row>
    <row r="70" spans="2:5" ht="19.5" x14ac:dyDescent="0.15">
      <c r="B70" s="10"/>
      <c r="C70" s="11"/>
      <c r="D70" s="10"/>
      <c r="E70" s="3"/>
    </row>
    <row r="71" spans="2:5" ht="19.5" x14ac:dyDescent="0.15">
      <c r="B71" s="10"/>
      <c r="C71" s="11"/>
      <c r="D71" s="10"/>
      <c r="E71" s="3"/>
    </row>
    <row r="72" spans="2:5" ht="19.5" x14ac:dyDescent="0.15">
      <c r="B72" s="10"/>
      <c r="C72" s="11"/>
      <c r="D72" s="10"/>
      <c r="E72" s="3"/>
    </row>
    <row r="73" spans="2:5" ht="19.5" x14ac:dyDescent="0.15">
      <c r="B73" s="10"/>
      <c r="C73" s="11"/>
      <c r="D73" s="10"/>
      <c r="E73" s="3"/>
    </row>
    <row r="74" spans="2:5" ht="19.5" x14ac:dyDescent="0.15">
      <c r="B74" s="10"/>
      <c r="C74" s="11"/>
      <c r="D74" s="10"/>
      <c r="E74" s="3"/>
    </row>
    <row r="75" spans="2:5" ht="19.5" x14ac:dyDescent="0.15">
      <c r="B75" s="10"/>
      <c r="C75" s="11"/>
      <c r="D75" s="10"/>
      <c r="E75" s="3"/>
    </row>
    <row r="76" spans="2:5" ht="19.5" x14ac:dyDescent="0.15">
      <c r="B76" s="10"/>
      <c r="C76" s="11"/>
      <c r="D76" s="10"/>
      <c r="E76" s="3"/>
    </row>
    <row r="77" spans="2:5" ht="19.5" x14ac:dyDescent="0.15">
      <c r="B77" s="10"/>
      <c r="C77" s="11"/>
      <c r="D77" s="10"/>
      <c r="E77" s="3"/>
    </row>
    <row r="78" spans="2:5" ht="19.5" x14ac:dyDescent="0.15">
      <c r="B78" s="10"/>
      <c r="C78" s="11"/>
      <c r="D78" s="10"/>
      <c r="E78" s="3"/>
    </row>
    <row r="79" spans="2:5" ht="19.5" x14ac:dyDescent="0.15">
      <c r="B79" s="10"/>
      <c r="C79" s="11"/>
      <c r="D79" s="10"/>
      <c r="E79" s="3"/>
    </row>
    <row r="80" spans="2:5" ht="19.5" x14ac:dyDescent="0.15">
      <c r="B80" s="10"/>
      <c r="C80" s="11"/>
      <c r="D80" s="10"/>
      <c r="E80" s="3"/>
    </row>
    <row r="81" spans="2:5" ht="19.5" x14ac:dyDescent="0.15">
      <c r="B81" s="10"/>
      <c r="C81" s="11"/>
      <c r="D81" s="10"/>
      <c r="E81" s="3"/>
    </row>
    <row r="82" spans="2:5" ht="19.5" x14ac:dyDescent="0.15">
      <c r="B82" s="8"/>
      <c r="C82" s="8"/>
      <c r="D82" s="5"/>
      <c r="E82" s="3"/>
    </row>
    <row r="83" spans="2:5" ht="19.5" x14ac:dyDescent="0.15">
      <c r="B83" s="8"/>
      <c r="C83" s="8"/>
      <c r="D83" s="5"/>
      <c r="E83" s="3"/>
    </row>
    <row r="84" spans="2:5" ht="19.5" x14ac:dyDescent="0.15">
      <c r="B84" s="8"/>
      <c r="C84" s="8"/>
      <c r="D84" s="5"/>
      <c r="E84" s="3"/>
    </row>
    <row r="85" spans="2:5" ht="19.5" x14ac:dyDescent="0.15">
      <c r="B85" s="8"/>
      <c r="C85" s="8"/>
      <c r="D85" s="5"/>
      <c r="E85" s="3"/>
    </row>
    <row r="86" spans="2:5" ht="19.5" x14ac:dyDescent="0.15">
      <c r="B86" s="8"/>
      <c r="C86" s="8"/>
      <c r="D86" s="5"/>
      <c r="E86" s="3"/>
    </row>
    <row r="87" spans="2:5" ht="19.5" x14ac:dyDescent="0.15">
      <c r="B87" s="8"/>
      <c r="C87" s="8"/>
      <c r="D87" s="5"/>
      <c r="E87" s="3"/>
    </row>
    <row r="88" spans="2:5" ht="19.5" x14ac:dyDescent="0.15">
      <c r="B88" s="8"/>
      <c r="C88" s="8"/>
      <c r="D88" s="5"/>
      <c r="E88" s="3"/>
    </row>
    <row r="89" spans="2:5" ht="19.5" x14ac:dyDescent="0.15">
      <c r="B89" s="8"/>
      <c r="C89" s="8"/>
      <c r="D89" s="5"/>
      <c r="E89" s="3"/>
    </row>
    <row r="90" spans="2:5" ht="19.5" x14ac:dyDescent="0.15">
      <c r="B90" s="8"/>
      <c r="C90" s="8"/>
      <c r="D90" s="5"/>
      <c r="E90" s="3"/>
    </row>
    <row r="91" spans="2:5" ht="19.5" x14ac:dyDescent="0.15">
      <c r="B91" s="8"/>
      <c r="C91" s="8"/>
      <c r="D91" s="5"/>
      <c r="E91" s="3"/>
    </row>
    <row r="92" spans="2:5" ht="19.5" x14ac:dyDescent="0.15">
      <c r="B92" s="8"/>
      <c r="C92" s="8"/>
      <c r="D92" s="5"/>
      <c r="E92" s="3"/>
    </row>
    <row r="93" spans="2:5" ht="19.5" x14ac:dyDescent="0.15">
      <c r="B93" s="8"/>
      <c r="C93" s="8"/>
      <c r="D93" s="5"/>
      <c r="E93" s="3"/>
    </row>
    <row r="94" spans="2:5" ht="19.5" x14ac:dyDescent="0.15">
      <c r="B94" s="8"/>
      <c r="C94" s="8"/>
      <c r="D94" s="5"/>
      <c r="E94" s="3"/>
    </row>
    <row r="95" spans="2:5" ht="19.5" x14ac:dyDescent="0.15">
      <c r="B95" s="8"/>
      <c r="C95" s="8"/>
      <c r="D95" s="5"/>
      <c r="E95" s="3"/>
    </row>
    <row r="96" spans="2:5" ht="19.5" x14ac:dyDescent="0.15">
      <c r="B96" s="8"/>
      <c r="C96" s="8"/>
      <c r="D96" s="5"/>
      <c r="E96" s="3"/>
    </row>
    <row r="97" spans="2:5" ht="19.5" x14ac:dyDescent="0.15">
      <c r="B97" s="8"/>
      <c r="C97" s="8"/>
      <c r="D97" s="5"/>
      <c r="E97" s="3"/>
    </row>
    <row r="98" spans="2:5" ht="19.5" x14ac:dyDescent="0.15">
      <c r="B98" s="8"/>
      <c r="C98" s="8"/>
      <c r="D98" s="5"/>
      <c r="E98" s="3"/>
    </row>
    <row r="99" spans="2:5" ht="19.5" x14ac:dyDescent="0.15">
      <c r="B99" s="8"/>
      <c r="C99" s="8"/>
      <c r="D99" s="5"/>
      <c r="E99" s="3"/>
    </row>
    <row r="100" spans="2:5" ht="19.5" x14ac:dyDescent="0.15">
      <c r="B100" s="8"/>
      <c r="C100" s="8"/>
      <c r="D100" s="5"/>
      <c r="E100" s="3"/>
    </row>
    <row r="101" spans="2:5" ht="19.5" x14ac:dyDescent="0.15">
      <c r="B101" s="8"/>
      <c r="C101" s="8"/>
      <c r="D101" s="5"/>
      <c r="E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タスク管理表</vt:lpstr>
      <vt:lpstr>祝祭日</vt:lpstr>
      <vt:lpstr>タスク管理表!Print_Area</vt:lpstr>
      <vt:lpstr>非稼働日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進捗管理表</dc:title>
  <dc:creator>成田格</dc:creator>
  <dcterms:created xsi:type="dcterms:W3CDTF">2013-06-07T02:55:19Z</dcterms:created>
  <dcterms:modified xsi:type="dcterms:W3CDTF">2021-09-11T11:16:44Z</dcterms:modified>
</cp:coreProperties>
</file>