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co2\Desktop\"/>
    </mc:Choice>
  </mc:AlternateContent>
  <xr:revisionPtr revIDLastSave="0" documentId="13_ncr:1_{7E15EBE7-59FA-4AF8-B54E-391464E1A9A7}" xr6:coauthVersionLast="47" xr6:coauthVersionMax="47" xr10:uidLastSave="{00000000-0000-0000-0000-000000000000}"/>
  <bookViews>
    <workbookView xWindow="-120" yWindow="-120" windowWidth="29040" windowHeight="15840" xr2:uid="{00B75419-7612-4985-A795-4C3EE8DF82B1}"/>
  </bookViews>
  <sheets>
    <sheet name="gantt_sh" sheetId="1" r:id="rId1"/>
    <sheet name="Sheet1" sheetId="2" r:id="rId2"/>
  </sheets>
  <externalReferences>
    <externalReference r:id="rId3"/>
  </externalReferences>
  <definedNames>
    <definedName name="month">[1]Sheet2!$C$1:$C$12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4" i="1" l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</calcChain>
</file>

<file path=xl/sharedStrings.xml><?xml version="1.0" encoding="utf-8"?>
<sst xmlns="http://schemas.openxmlformats.org/spreadsheetml/2006/main" count="30" uniqueCount="16">
  <si>
    <t>年</t>
    <rPh sb="0" eb="1">
      <t>ネン</t>
    </rPh>
    <phoneticPr fontId="4"/>
  </si>
  <si>
    <t>月</t>
    <rPh sb="0" eb="1">
      <t>ガツ</t>
    </rPh>
    <phoneticPr fontId="3"/>
  </si>
  <si>
    <t>分類</t>
    <rPh sb="0" eb="2">
      <t>ブンルイ</t>
    </rPh>
    <phoneticPr fontId="3"/>
  </si>
  <si>
    <t>項目</t>
    <rPh sb="0" eb="2">
      <t>コウモク</t>
    </rPh>
    <phoneticPr fontId="4"/>
  </si>
  <si>
    <t>開始日</t>
    <rPh sb="0" eb="3">
      <t>カイシビ</t>
    </rPh>
    <phoneticPr fontId="3"/>
  </si>
  <si>
    <t>終了日</t>
    <rPh sb="0" eb="3">
      <t>シュウリョウビ</t>
    </rPh>
    <phoneticPr fontId="3"/>
  </si>
  <si>
    <t>進捗状況</t>
    <rPh sb="0" eb="2">
      <t>シンチョク</t>
    </rPh>
    <rPh sb="2" eb="4">
      <t>ジョウキョウ</t>
    </rPh>
    <phoneticPr fontId="3"/>
  </si>
  <si>
    <t>設備A</t>
    <rPh sb="0" eb="2">
      <t>セツビ</t>
    </rPh>
    <phoneticPr fontId="3"/>
  </si>
  <si>
    <t>設計</t>
    <rPh sb="0" eb="2">
      <t>セッケイ</t>
    </rPh>
    <phoneticPr fontId="3"/>
  </si>
  <si>
    <t>手配</t>
    <rPh sb="0" eb="2">
      <t>テハイ</t>
    </rPh>
    <phoneticPr fontId="3"/>
  </si>
  <si>
    <t>加工</t>
    <rPh sb="0" eb="2">
      <t>カコウ</t>
    </rPh>
    <phoneticPr fontId="3"/>
  </si>
  <si>
    <t>組み立て</t>
    <rPh sb="0" eb="1">
      <t>ク</t>
    </rPh>
    <rPh sb="2" eb="3">
      <t>タ</t>
    </rPh>
    <phoneticPr fontId="3"/>
  </si>
  <si>
    <t>配線</t>
    <rPh sb="0" eb="2">
      <t>ハイセン</t>
    </rPh>
    <phoneticPr fontId="3"/>
  </si>
  <si>
    <t>テスト</t>
    <phoneticPr fontId="3"/>
  </si>
  <si>
    <t>納品</t>
    <rPh sb="0" eb="2">
      <t>ノウヒン</t>
    </rPh>
    <phoneticPr fontId="3"/>
  </si>
  <si>
    <t>設備B</t>
    <rPh sb="0" eb="2">
      <t>セツビ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</si>
</sst>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aaa"/>
  </numFmts>
  <fonts count="10" x14ac:knownFonts="1"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メイリオ"/>
      <family val="3"/>
      <charset val="128"/>
    </font>
    <font>
      <sz val="6"/>
      <name val="メイリオ"/>
      <family val="2"/>
      <charset val="128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3"/>
      <charset val="128"/>
    </font>
    <font>
      <sz val="12"/>
      <name val="メイリオ"/>
      <family val="2"/>
      <charset val="128"/>
    </font>
    <font>
      <b/>
      <sz val="26"/>
      <color theme="1"/>
      <name val="Lucida Sans Unicode"/>
      <family val="2"/>
    </font>
    <font>
      <sz val="26"/>
      <color theme="1"/>
      <name val="メイリオ"/>
      <family val="2"/>
      <charset val="128"/>
    </font>
    <font>
      <sz val="12"/>
      <color rgb="FF22222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A7878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99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1" fillId="2" borderId="0" xfId="0" applyFont="1" applyFill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5" fillId="0" borderId="1" xfId="0" applyFont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0" fontId="6" fillId="2" borderId="0" xfId="0" quotePrefix="1" applyFont="1" applyFill="1">
      <alignment vertical="center"/>
    </xf>
    <xf numFmtId="0" fontId="0" fillId="2" borderId="0" xfId="0" quotePrefix="1" applyFill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9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</cellXfs>
  <cellStyles count="1">
    <cellStyle name="標準" xfId="0" builtinId="0"/>
  </cellStyles>
  <dxfs count="28">
    <dxf>
      <font>
        <color rgb="FFFF0000"/>
      </font>
      <fill>
        <patternFill>
          <bgColor rgb="FFFFE7FF"/>
        </patternFill>
      </fill>
    </dxf>
    <dxf>
      <font>
        <color theme="4" tint="-0.24994659260841701"/>
      </font>
      <fill>
        <patternFill patternType="solid">
          <bgColor theme="8" tint="0.79998168889431442"/>
        </patternFill>
      </fill>
    </dxf>
    <dxf>
      <font>
        <b/>
        <i val="0"/>
        <color rgb="FFFF0000"/>
      </font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fgColor indexed="64"/>
          <bgColor rgb="FF99FF66"/>
        </patternFill>
      </fill>
    </dxf>
    <dxf>
      <fill>
        <patternFill>
          <bgColor rgb="FF99FF66"/>
        </patternFill>
      </fill>
    </dxf>
    <dxf>
      <font>
        <color theme="4" tint="-0.24994659260841701"/>
      </font>
      <fill>
        <patternFill patternType="solid">
          <bgColor theme="8" tint="0.79998168889431442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FFE7FF"/>
        </patternFill>
      </fill>
    </dxf>
    <dxf>
      <font>
        <color rgb="FFFF0000"/>
      </font>
      <fill>
        <patternFill>
          <bgColor rgb="FFFFE7FF"/>
        </patternFill>
      </fill>
    </dxf>
    <dxf>
      <fill>
        <patternFill>
          <bgColor rgb="FFFFFFCC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99FF"/>
      <color rgb="FFE575FF"/>
      <color rgb="FF66FFCC"/>
      <color rgb="FF339933"/>
      <color rgb="FF00CC66"/>
      <color rgb="FF00FFFF"/>
      <color rgb="FFEA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8</xdr:col>
          <xdr:colOff>371475</xdr:colOff>
          <xdr:row>0</xdr:row>
          <xdr:rowOff>609600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チャート作成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0</xdr:row>
          <xdr:rowOff>161925</xdr:rowOff>
        </xdr:from>
        <xdr:to>
          <xdr:col>5</xdr:col>
          <xdr:colOff>38100</xdr:colOff>
          <xdr:row>0</xdr:row>
          <xdr:rowOff>600075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日付入力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171450</xdr:rowOff>
        </xdr:from>
        <xdr:to>
          <xdr:col>18</xdr:col>
          <xdr:colOff>295275</xdr:colOff>
          <xdr:row>0</xdr:row>
          <xdr:rowOff>609600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矢印なら全部削除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285750</xdr:colOff>
          <xdr:row>0</xdr:row>
          <xdr:rowOff>171450</xdr:rowOff>
        </xdr:from>
        <xdr:to>
          <xdr:col>24</xdr:col>
          <xdr:colOff>85725</xdr:colOff>
          <xdr:row>0</xdr:row>
          <xdr:rowOff>609600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ActiveCell行の矢印を削除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5</xdr:row>
      <xdr:rowOff>203200</xdr:rowOff>
    </xdr:from>
    <xdr:to>
      <xdr:col>20</xdr:col>
      <xdr:colOff>0</xdr:colOff>
      <xdr:row>5</xdr:row>
      <xdr:rowOff>203200</xdr:rowOff>
    </xdr:to>
    <xdr:cxnSp macro="">
      <xdr:nvCxnSpPr>
        <xdr:cNvPr id="1050" name="直線矢印コネクタ 1049">
          <a:extLst>
            <a:ext uri="{FF2B5EF4-FFF2-40B4-BE49-F238E27FC236}">
              <a16:creationId xmlns:a16="http://schemas.microsoft.com/office/drawing/2014/main" id="{2C14AD0E-9E7E-4634-B779-52644F9223A9}"/>
            </a:ext>
          </a:extLst>
        </xdr:cNvPr>
        <xdr:cNvCxnSpPr/>
      </xdr:nvCxnSpPr>
      <xdr:spPr>
        <a:xfrm>
          <a:off x="7305675" y="2232025"/>
          <a:ext cx="3000375" cy="0"/>
        </a:xfrm>
        <a:prstGeom prst="straightConnector1">
          <a:avLst/>
        </a:prstGeom>
        <a:ln w="127000">
          <a:solidFill>
            <a:srgbClr val="66FFCC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6</xdr:row>
      <xdr:rowOff>203200</xdr:rowOff>
    </xdr:from>
    <xdr:to>
      <xdr:col>16</xdr:col>
      <xdr:colOff>0</xdr:colOff>
      <xdr:row>6</xdr:row>
      <xdr:rowOff>203200</xdr:rowOff>
    </xdr:to>
    <xdr:cxnSp macro="">
      <xdr:nvCxnSpPr>
        <xdr:cNvPr id="1051" name="直線矢印コネクタ 1050">
          <a:extLst>
            <a:ext uri="{FF2B5EF4-FFF2-40B4-BE49-F238E27FC236}">
              <a16:creationId xmlns:a16="http://schemas.microsoft.com/office/drawing/2014/main" id="{02F8718C-3AEB-4361-B6B1-5B9321BF7EA5}"/>
            </a:ext>
          </a:extLst>
        </xdr:cNvPr>
        <xdr:cNvCxnSpPr/>
      </xdr:nvCxnSpPr>
      <xdr:spPr>
        <a:xfrm>
          <a:off x="7305675" y="2641600"/>
          <a:ext cx="1285875" cy="0"/>
        </a:xfrm>
        <a:prstGeom prst="straightConnector1">
          <a:avLst/>
        </a:prstGeom>
        <a:ln w="127000">
          <a:solidFill>
            <a:srgbClr val="00CC66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7</xdr:row>
      <xdr:rowOff>203200</xdr:rowOff>
    </xdr:from>
    <xdr:to>
      <xdr:col>24</xdr:col>
      <xdr:colOff>0</xdr:colOff>
      <xdr:row>7</xdr:row>
      <xdr:rowOff>203200</xdr:rowOff>
    </xdr:to>
    <xdr:cxnSp macro="">
      <xdr:nvCxnSpPr>
        <xdr:cNvPr id="1052" name="直線矢印コネクタ 1051">
          <a:extLst>
            <a:ext uri="{FF2B5EF4-FFF2-40B4-BE49-F238E27FC236}">
              <a16:creationId xmlns:a16="http://schemas.microsoft.com/office/drawing/2014/main" id="{5CFFC662-A103-4E97-8B5E-FC0B2A1AD411}"/>
            </a:ext>
          </a:extLst>
        </xdr:cNvPr>
        <xdr:cNvCxnSpPr/>
      </xdr:nvCxnSpPr>
      <xdr:spPr>
        <a:xfrm>
          <a:off x="7305675" y="3051175"/>
          <a:ext cx="4714875" cy="0"/>
        </a:xfrm>
        <a:prstGeom prst="straightConnector1">
          <a:avLst/>
        </a:prstGeom>
        <a:ln w="127000">
          <a:solidFill>
            <a:srgbClr val="FFD966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8</xdr:row>
      <xdr:rowOff>203200</xdr:rowOff>
    </xdr:from>
    <xdr:to>
      <xdr:col>27</xdr:col>
      <xdr:colOff>0</xdr:colOff>
      <xdr:row>8</xdr:row>
      <xdr:rowOff>203200</xdr:rowOff>
    </xdr:to>
    <xdr:cxnSp macro="">
      <xdr:nvCxnSpPr>
        <xdr:cNvPr id="1053" name="直線矢印コネクタ 1052">
          <a:extLst>
            <a:ext uri="{FF2B5EF4-FFF2-40B4-BE49-F238E27FC236}">
              <a16:creationId xmlns:a16="http://schemas.microsoft.com/office/drawing/2014/main" id="{CD660437-0882-4543-8ADC-68303711D7B9}"/>
            </a:ext>
          </a:extLst>
        </xdr:cNvPr>
        <xdr:cNvCxnSpPr/>
      </xdr:nvCxnSpPr>
      <xdr:spPr>
        <a:xfrm>
          <a:off x="7305675" y="3460750"/>
          <a:ext cx="6000750" cy="0"/>
        </a:xfrm>
        <a:prstGeom prst="straightConnector1">
          <a:avLst/>
        </a:prstGeom>
        <a:ln w="127000">
          <a:solidFill>
            <a:srgbClr val="FF99FF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9</xdr:row>
      <xdr:rowOff>203200</xdr:rowOff>
    </xdr:from>
    <xdr:to>
      <xdr:col>30</xdr:col>
      <xdr:colOff>0</xdr:colOff>
      <xdr:row>9</xdr:row>
      <xdr:rowOff>203200</xdr:rowOff>
    </xdr:to>
    <xdr:cxnSp macro="">
      <xdr:nvCxnSpPr>
        <xdr:cNvPr id="1054" name="直線矢印コネクタ 1053">
          <a:extLst>
            <a:ext uri="{FF2B5EF4-FFF2-40B4-BE49-F238E27FC236}">
              <a16:creationId xmlns:a16="http://schemas.microsoft.com/office/drawing/2014/main" id="{7EEA7280-D75E-4C04-AAF2-E05062FB9A64}"/>
            </a:ext>
          </a:extLst>
        </xdr:cNvPr>
        <xdr:cNvCxnSpPr/>
      </xdr:nvCxnSpPr>
      <xdr:spPr>
        <a:xfrm>
          <a:off x="7305675" y="3870325"/>
          <a:ext cx="7286625" cy="0"/>
        </a:xfrm>
        <a:prstGeom prst="straightConnector1">
          <a:avLst/>
        </a:prstGeom>
        <a:ln w="127000">
          <a:solidFill>
            <a:srgbClr val="00B0F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10</xdr:row>
      <xdr:rowOff>203200</xdr:rowOff>
    </xdr:from>
    <xdr:to>
      <xdr:col>32</xdr:col>
      <xdr:colOff>0</xdr:colOff>
      <xdr:row>10</xdr:row>
      <xdr:rowOff>203200</xdr:rowOff>
    </xdr:to>
    <xdr:cxnSp macro="">
      <xdr:nvCxnSpPr>
        <xdr:cNvPr id="1055" name="直線矢印コネクタ 1054">
          <a:extLst>
            <a:ext uri="{FF2B5EF4-FFF2-40B4-BE49-F238E27FC236}">
              <a16:creationId xmlns:a16="http://schemas.microsoft.com/office/drawing/2014/main" id="{82C2A187-6FA5-4797-88B0-BE4A659172B2}"/>
            </a:ext>
          </a:extLst>
        </xdr:cNvPr>
        <xdr:cNvCxnSpPr/>
      </xdr:nvCxnSpPr>
      <xdr:spPr>
        <a:xfrm>
          <a:off x="7305675" y="4279900"/>
          <a:ext cx="8143875" cy="0"/>
        </a:xfrm>
        <a:prstGeom prst="straightConnector1">
          <a:avLst/>
        </a:prstGeom>
        <a:ln w="127000">
          <a:solidFill>
            <a:srgbClr val="339933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0</xdr:colOff>
      <xdr:row>11</xdr:row>
      <xdr:rowOff>203200</xdr:rowOff>
    </xdr:from>
    <xdr:to>
      <xdr:col>33</xdr:col>
      <xdr:colOff>0</xdr:colOff>
      <xdr:row>11</xdr:row>
      <xdr:rowOff>203200</xdr:rowOff>
    </xdr:to>
    <xdr:cxnSp macro="">
      <xdr:nvCxnSpPr>
        <xdr:cNvPr id="1056" name="直線矢印コネクタ 1055">
          <a:extLst>
            <a:ext uri="{FF2B5EF4-FFF2-40B4-BE49-F238E27FC236}">
              <a16:creationId xmlns:a16="http://schemas.microsoft.com/office/drawing/2014/main" id="{80E94184-1710-4693-907F-77B2FC61F04F}"/>
            </a:ext>
          </a:extLst>
        </xdr:cNvPr>
        <xdr:cNvCxnSpPr/>
      </xdr:nvCxnSpPr>
      <xdr:spPr>
        <a:xfrm>
          <a:off x="7305675" y="4689475"/>
          <a:ext cx="8572500" cy="0"/>
        </a:xfrm>
        <a:prstGeom prst="straightConnector1">
          <a:avLst/>
        </a:prstGeom>
        <a:ln w="127000">
          <a:solidFill>
            <a:srgbClr val="EA7878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_site_sample\2020\&#12471;&#12501;&#12488;\shift%20schedule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ift schedule03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F9A98-53F3-4A75-A719-7C34A8C624F3}">
  <sheetPr codeName="gantt_sh"/>
  <dimension ref="A1:AP33"/>
  <sheetViews>
    <sheetView showGridLines="0" tabSelected="1" zoomScale="89" zoomScaleNormal="89" workbookViewId="0">
      <selection activeCell="H10" sqref="H10"/>
    </sheetView>
  </sheetViews>
  <sheetFormatPr defaultRowHeight="19.5" x14ac:dyDescent="0.45"/>
  <cols>
    <col min="1" max="1" width="6.8984375" customWidth="1"/>
    <col min="2" max="2" width="13.5" customWidth="1"/>
    <col min="3" max="4" width="6.5" customWidth="1"/>
    <col min="5" max="5" width="7.296875" customWidth="1"/>
    <col min="6" max="36" width="4.5" customWidth="1"/>
    <col min="37" max="40" width="4.3984375" customWidth="1"/>
  </cols>
  <sheetData>
    <row r="1" spans="1:42" ht="53.25" customHeight="1" x14ac:dyDescent="0.4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</row>
    <row r="2" spans="1:42" ht="27" customHeight="1" x14ac:dyDescent="0.45">
      <c r="A2" s="2">
        <v>2021</v>
      </c>
      <c r="B2" s="3" t="s">
        <v>0</v>
      </c>
      <c r="C2" s="4">
        <v>9</v>
      </c>
      <c r="D2" s="5" t="s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6"/>
      <c r="AG2" s="6"/>
      <c r="AH2" s="6"/>
      <c r="AI2" s="1"/>
      <c r="AJ2" s="1"/>
      <c r="AK2" s="1"/>
      <c r="AL2" s="1"/>
      <c r="AM2" s="1"/>
      <c r="AN2" s="1"/>
      <c r="AO2" s="1"/>
      <c r="AP2" s="1"/>
    </row>
    <row r="3" spans="1:42" ht="24" customHeight="1" x14ac:dyDescent="0.45">
      <c r="E3" s="2"/>
      <c r="F3" s="7">
        <v>44440</v>
      </c>
      <c r="G3" s="7">
        <v>44441</v>
      </c>
      <c r="H3" s="7">
        <v>44442</v>
      </c>
      <c r="I3" s="7">
        <v>44443</v>
      </c>
      <c r="J3" s="7">
        <v>44444</v>
      </c>
      <c r="K3" s="7">
        <v>44445</v>
      </c>
      <c r="L3" s="7">
        <v>44446</v>
      </c>
      <c r="M3" s="7">
        <v>44447</v>
      </c>
      <c r="N3" s="7">
        <v>44448</v>
      </c>
      <c r="O3" s="7">
        <v>44449</v>
      </c>
      <c r="P3" s="7">
        <v>44450</v>
      </c>
      <c r="Q3" s="7">
        <v>44451</v>
      </c>
      <c r="R3" s="7">
        <v>44452</v>
      </c>
      <c r="S3" s="7">
        <v>44453</v>
      </c>
      <c r="T3" s="7">
        <v>44454</v>
      </c>
      <c r="U3" s="7">
        <v>44455</v>
      </c>
      <c r="V3" s="7">
        <v>44456</v>
      </c>
      <c r="W3" s="7">
        <v>44457</v>
      </c>
      <c r="X3" s="7">
        <v>44458</v>
      </c>
      <c r="Y3" s="7">
        <v>44459</v>
      </c>
      <c r="Z3" s="7">
        <v>44460</v>
      </c>
      <c r="AA3" s="7">
        <v>44461</v>
      </c>
      <c r="AB3" s="7">
        <v>44462</v>
      </c>
      <c r="AC3" s="7">
        <v>44463</v>
      </c>
      <c r="AD3" s="7">
        <v>44464</v>
      </c>
      <c r="AE3" s="7">
        <v>44465</v>
      </c>
      <c r="AF3" s="7">
        <v>44466</v>
      </c>
      <c r="AG3" s="7">
        <v>44467</v>
      </c>
      <c r="AH3" s="7">
        <v>44468</v>
      </c>
      <c r="AI3" s="7">
        <v>44469</v>
      </c>
      <c r="AJ3" s="7">
        <v>44470</v>
      </c>
      <c r="AK3" s="1"/>
      <c r="AL3" s="1"/>
      <c r="AM3" s="1"/>
      <c r="AN3" s="1"/>
      <c r="AO3" s="1"/>
      <c r="AP3" s="1"/>
    </row>
    <row r="4" spans="1:42" ht="23.25" customHeight="1" x14ac:dyDescent="0.45">
      <c r="A4" s="2" t="s">
        <v>2</v>
      </c>
      <c r="B4" s="3" t="s">
        <v>3</v>
      </c>
      <c r="C4" s="2" t="s">
        <v>4</v>
      </c>
      <c r="D4" s="2" t="s">
        <v>5</v>
      </c>
      <c r="E4" s="2" t="s">
        <v>6</v>
      </c>
      <c r="F4" s="8">
        <f>DATE($A$2,$C$2,1)+0</f>
        <v>44440</v>
      </c>
      <c r="G4" s="8">
        <f>DATE($A$2,$C$2,1)+1</f>
        <v>44441</v>
      </c>
      <c r="H4" s="8">
        <f>DATE($A$2,$C$2,1)+2</f>
        <v>44442</v>
      </c>
      <c r="I4" s="8">
        <f>DATE($A$2,$C$2,1)+3</f>
        <v>44443</v>
      </c>
      <c r="J4" s="8">
        <f>DATE($A$2,$C$2,1)+4</f>
        <v>44444</v>
      </c>
      <c r="K4" s="8">
        <f>DATE($A$2,$C$2,1)+5</f>
        <v>44445</v>
      </c>
      <c r="L4" s="8">
        <f>DATE($A$2,$C$2,1)+6</f>
        <v>44446</v>
      </c>
      <c r="M4" s="8">
        <f>DATE($A$2,$C$2,1)+7</f>
        <v>44447</v>
      </c>
      <c r="N4" s="8">
        <f>DATE($A$2,$C$2,1)+8</f>
        <v>44448</v>
      </c>
      <c r="O4" s="8">
        <f>DATE($A$2,$C$2,1)+9</f>
        <v>44449</v>
      </c>
      <c r="P4" s="8">
        <f>DATE($A$2,$C$2,1)+10</f>
        <v>44450</v>
      </c>
      <c r="Q4" s="8">
        <f>DATE($A$2,$C$2,1)+11</f>
        <v>44451</v>
      </c>
      <c r="R4" s="8">
        <f>DATE($A$2,$C$2,1)+12</f>
        <v>44452</v>
      </c>
      <c r="S4" s="8">
        <f>DATE($A$2,$C$2,1)+13</f>
        <v>44453</v>
      </c>
      <c r="T4" s="8">
        <f>DATE($A$2,$C$2,1)+14</f>
        <v>44454</v>
      </c>
      <c r="U4" s="8">
        <f>DATE($A$2,$C$2,1)+15</f>
        <v>44455</v>
      </c>
      <c r="V4" s="8">
        <f>DATE($A$2,$C$2,1)+16</f>
        <v>44456</v>
      </c>
      <c r="W4" s="8">
        <f>DATE($A$2,$C$2,1)+17</f>
        <v>44457</v>
      </c>
      <c r="X4" s="8">
        <f>DATE($A$2,$C$2,1)+18</f>
        <v>44458</v>
      </c>
      <c r="Y4" s="8">
        <f>DATE($A$2,$C$2,1)+19</f>
        <v>44459</v>
      </c>
      <c r="Z4" s="8">
        <f>DATE($A$2,$C$2,1)+20</f>
        <v>44460</v>
      </c>
      <c r="AA4" s="8">
        <f>DATE($A$2,$C$2,1)+21</f>
        <v>44461</v>
      </c>
      <c r="AB4" s="8">
        <f>DATE($A$2,$C$2,1)+22</f>
        <v>44462</v>
      </c>
      <c r="AC4" s="8">
        <f>DATE($A$2,$C$2,1)+23</f>
        <v>44463</v>
      </c>
      <c r="AD4" s="8">
        <f>DATE($A$2,$C$2,1)+24</f>
        <v>44464</v>
      </c>
      <c r="AE4" s="8">
        <f>DATE($A$2,$C$2,1)+25</f>
        <v>44465</v>
      </c>
      <c r="AF4" s="8">
        <f>DATE($A$2,$C$2,1)+26</f>
        <v>44466</v>
      </c>
      <c r="AG4" s="8">
        <f>DATE($A$2,$C$2,1)+27</f>
        <v>44467</v>
      </c>
      <c r="AH4" s="8">
        <f>IF(DAY(DATE($A$2,$C$2,29))=29,DATE($A$2,$C$2,29),"")</f>
        <v>44468</v>
      </c>
      <c r="AI4" s="8">
        <f>IF(DAY(DATE($A$2,$C$2,30))=30,DATE($A$2,$C$2,30),"")</f>
        <v>44469</v>
      </c>
      <c r="AJ4" s="8" t="str">
        <f>IF(DAY(DATE($A$2,$C$2,31))=31,DATE($A$2,$C$2,31),"")</f>
        <v/>
      </c>
      <c r="AK4" s="1"/>
      <c r="AL4" s="1"/>
      <c r="AM4" s="1"/>
      <c r="AN4" s="1"/>
      <c r="AO4" s="1"/>
      <c r="AP4" s="1"/>
    </row>
    <row r="5" spans="1:42" ht="32.25" customHeight="1" x14ac:dyDescent="0.45">
      <c r="A5" s="2" t="s">
        <v>7</v>
      </c>
      <c r="B5" s="3"/>
      <c r="C5" s="2"/>
      <c r="D5" s="2"/>
      <c r="E5" s="2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1"/>
      <c r="AL5" s="1"/>
      <c r="AM5" s="1"/>
      <c r="AN5" s="1"/>
      <c r="AO5" s="1"/>
      <c r="AP5" s="1"/>
    </row>
    <row r="6" spans="1:42" ht="32.25" customHeight="1" x14ac:dyDescent="0.45">
      <c r="B6" s="25" t="s">
        <v>8</v>
      </c>
      <c r="C6" s="7">
        <v>44448</v>
      </c>
      <c r="D6" s="7">
        <v>44454</v>
      </c>
      <c r="E6" s="2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1"/>
      <c r="AL6" s="1"/>
      <c r="AM6" s="1"/>
      <c r="AN6" s="1"/>
      <c r="AO6" s="1"/>
      <c r="AP6" s="1"/>
    </row>
    <row r="7" spans="1:42" ht="32.25" customHeight="1" x14ac:dyDescent="0.45">
      <c r="A7" s="2"/>
      <c r="B7" s="20" t="s">
        <v>9</v>
      </c>
      <c r="C7" s="7">
        <v>44448</v>
      </c>
      <c r="D7" s="7">
        <v>44450</v>
      </c>
      <c r="E7" s="2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1"/>
      <c r="AL7" s="1"/>
      <c r="AM7" s="1"/>
      <c r="AN7" s="1"/>
      <c r="AO7" s="1"/>
      <c r="AP7" s="1"/>
    </row>
    <row r="8" spans="1:42" ht="32.25" customHeight="1" x14ac:dyDescent="0.45">
      <c r="A8" s="2"/>
      <c r="B8" s="18" t="s">
        <v>10</v>
      </c>
      <c r="C8" s="7">
        <v>44448</v>
      </c>
      <c r="D8" s="7">
        <v>44458</v>
      </c>
      <c r="E8" s="2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1"/>
      <c r="AL8" s="1"/>
      <c r="AM8" s="1"/>
      <c r="AN8" s="1"/>
      <c r="AO8" s="1"/>
      <c r="AP8" s="1"/>
    </row>
    <row r="9" spans="1:42" ht="32.25" customHeight="1" x14ac:dyDescent="0.45">
      <c r="A9" s="2"/>
      <c r="B9" s="26" t="s">
        <v>11</v>
      </c>
      <c r="C9" s="7">
        <v>44448</v>
      </c>
      <c r="D9" s="7">
        <v>44461</v>
      </c>
      <c r="E9" s="2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1"/>
      <c r="AL9" s="1"/>
      <c r="AM9" s="1"/>
      <c r="AN9" s="1"/>
      <c r="AO9" s="1"/>
      <c r="AP9" s="1"/>
    </row>
    <row r="10" spans="1:42" ht="32.25" customHeight="1" x14ac:dyDescent="0.45">
      <c r="A10" s="2"/>
      <c r="B10" s="21" t="s">
        <v>12</v>
      </c>
      <c r="C10" s="7">
        <v>44448</v>
      </c>
      <c r="D10" s="7">
        <v>44464</v>
      </c>
      <c r="E10" s="2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1"/>
      <c r="AL10" s="1"/>
      <c r="AM10" s="1"/>
      <c r="AN10" s="1"/>
      <c r="AO10" s="1"/>
      <c r="AP10" s="1"/>
    </row>
    <row r="11" spans="1:42" ht="32.25" customHeight="1" x14ac:dyDescent="0.45">
      <c r="A11" s="2"/>
      <c r="B11" s="24" t="s">
        <v>13</v>
      </c>
      <c r="C11" s="7">
        <v>44448</v>
      </c>
      <c r="D11" s="7">
        <v>44466</v>
      </c>
      <c r="E11" s="2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1"/>
      <c r="AL11" s="1"/>
      <c r="AM11" s="1"/>
      <c r="AN11" s="1"/>
      <c r="AO11" s="1"/>
      <c r="AP11" s="1"/>
    </row>
    <row r="12" spans="1:42" ht="32.25" customHeight="1" x14ac:dyDescent="0.45">
      <c r="A12" s="2"/>
      <c r="B12" s="22" t="s">
        <v>14</v>
      </c>
      <c r="C12" s="7">
        <v>44448</v>
      </c>
      <c r="D12" s="7">
        <v>44467</v>
      </c>
      <c r="E12" s="2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1"/>
      <c r="AL12" s="1"/>
      <c r="AM12" s="1"/>
      <c r="AN12" s="1"/>
      <c r="AO12" s="1"/>
      <c r="AP12" s="1"/>
    </row>
    <row r="13" spans="1:42" ht="32.25" customHeight="1" x14ac:dyDescent="0.45">
      <c r="A13" s="2" t="s">
        <v>15</v>
      </c>
      <c r="B13" s="2"/>
      <c r="C13" s="7"/>
      <c r="D13" s="7"/>
      <c r="E13" s="2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"/>
      <c r="AL13" s="1"/>
      <c r="AM13" s="1"/>
      <c r="AN13" s="1"/>
      <c r="AO13" s="1"/>
      <c r="AP13" s="1"/>
    </row>
    <row r="14" spans="1:42" ht="32.25" customHeight="1" x14ac:dyDescent="0.45">
      <c r="B14" s="23" t="s">
        <v>8</v>
      </c>
      <c r="C14" s="7"/>
      <c r="D14" s="7"/>
      <c r="E14" s="2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1"/>
      <c r="AL14" s="1"/>
      <c r="AM14" s="1"/>
      <c r="AN14" s="1"/>
      <c r="AO14" s="1"/>
      <c r="AP14" s="1"/>
    </row>
    <row r="15" spans="1:42" ht="32.25" customHeight="1" x14ac:dyDescent="0.45">
      <c r="A15" s="2"/>
      <c r="B15" s="20" t="s">
        <v>9</v>
      </c>
      <c r="C15" s="7"/>
      <c r="D15" s="7"/>
      <c r="E15" s="2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"/>
      <c r="AL15" s="1"/>
      <c r="AM15" s="1"/>
      <c r="AN15" s="1"/>
      <c r="AO15" s="1"/>
      <c r="AP15" s="1"/>
    </row>
    <row r="16" spans="1:42" ht="32.25" customHeight="1" x14ac:dyDescent="0.45">
      <c r="A16" s="2"/>
      <c r="B16" s="18" t="s">
        <v>10</v>
      </c>
      <c r="C16" s="7"/>
      <c r="D16" s="7"/>
      <c r="E16" s="2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"/>
      <c r="AL16" s="1"/>
      <c r="AM16" s="1"/>
      <c r="AN16" s="1"/>
      <c r="AO16" s="1"/>
      <c r="AP16" s="1"/>
    </row>
    <row r="17" spans="1:42" ht="32.25" customHeight="1" x14ac:dyDescent="0.45">
      <c r="A17" s="2"/>
      <c r="B17" s="19" t="s">
        <v>11</v>
      </c>
      <c r="C17" s="7"/>
      <c r="D17" s="7"/>
      <c r="E17" s="2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"/>
      <c r="AL17" s="1"/>
      <c r="AM17" s="1"/>
      <c r="AN17" s="1"/>
      <c r="AO17" s="1"/>
      <c r="AP17" s="1"/>
    </row>
    <row r="18" spans="1:42" ht="32.25" customHeight="1" x14ac:dyDescent="0.45">
      <c r="A18" s="2"/>
      <c r="B18" s="21" t="s">
        <v>12</v>
      </c>
      <c r="C18" s="7"/>
      <c r="D18" s="7"/>
      <c r="E18" s="2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"/>
      <c r="AL18" s="1"/>
      <c r="AM18" s="1"/>
      <c r="AN18" s="1"/>
      <c r="AO18" s="1"/>
      <c r="AP18" s="1"/>
    </row>
    <row r="19" spans="1:42" ht="32.25" customHeight="1" x14ac:dyDescent="0.45">
      <c r="A19" s="2"/>
      <c r="B19" s="24" t="s">
        <v>13</v>
      </c>
      <c r="C19" s="7"/>
      <c r="D19" s="7"/>
      <c r="E19" s="2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"/>
      <c r="AL19" s="1"/>
      <c r="AM19" s="1"/>
      <c r="AN19" s="1"/>
      <c r="AO19" s="1"/>
      <c r="AP19" s="1"/>
    </row>
    <row r="20" spans="1:42" ht="32.25" customHeight="1" x14ac:dyDescent="0.45">
      <c r="A20" s="2"/>
      <c r="B20" s="22" t="s">
        <v>14</v>
      </c>
      <c r="C20" s="7"/>
      <c r="D20" s="7"/>
      <c r="E20" s="2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"/>
      <c r="AL20" s="1"/>
      <c r="AM20" s="1"/>
      <c r="AN20" s="1"/>
      <c r="AO20" s="1"/>
      <c r="AP20" s="1"/>
    </row>
    <row r="21" spans="1:42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</row>
    <row r="22" spans="1:42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</row>
    <row r="23" spans="1:42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x14ac:dyDescent="0.45">
      <c r="A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2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3"/>
      <c r="AG25" s="13"/>
      <c r="AH25" s="13"/>
      <c r="AI25" s="1"/>
      <c r="AJ25" s="1"/>
      <c r="AK25" s="1"/>
      <c r="AL25" s="1"/>
      <c r="AM25" s="1"/>
      <c r="AN25" s="1"/>
      <c r="AO25" s="1"/>
      <c r="AP25" s="1"/>
    </row>
    <row r="26" spans="1:42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</row>
    <row r="27" spans="1:42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</row>
    <row r="28" spans="1:42" x14ac:dyDescent="0.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ht="41.25" x14ac:dyDescent="0.45">
      <c r="B29" s="14"/>
      <c r="C29" s="15"/>
      <c r="D29" s="15"/>
      <c r="E29" s="15"/>
    </row>
    <row r="32" spans="1:42" x14ac:dyDescent="0.45">
      <c r="C32" s="16"/>
      <c r="D32" s="16"/>
      <c r="E32" s="16"/>
      <c r="M32" s="17"/>
    </row>
    <row r="33" spans="3:3" x14ac:dyDescent="0.45">
      <c r="C33" s="16"/>
    </row>
  </sheetData>
  <phoneticPr fontId="3"/>
  <conditionalFormatting sqref="F6:AJ16">
    <cfRule type="expression" dxfId="27" priority="27">
      <formula>F6="出"</formula>
    </cfRule>
    <cfRule type="expression" dxfId="26" priority="28">
      <formula>F6="休"</formula>
    </cfRule>
  </conditionalFormatting>
  <conditionalFormatting sqref="F4:AJ5">
    <cfRule type="expression" dxfId="25" priority="26">
      <formula>WEEKDAY(F4)=1</formula>
    </cfRule>
  </conditionalFormatting>
  <conditionalFormatting sqref="AH3:AJ3">
    <cfRule type="expression" dxfId="24" priority="25">
      <formula>WEEKDAY(AH3)=1</formula>
    </cfRule>
  </conditionalFormatting>
  <conditionalFormatting sqref="F18:AJ18">
    <cfRule type="expression" dxfId="23" priority="24">
      <formula>F18&lt;=0</formula>
    </cfRule>
  </conditionalFormatting>
  <conditionalFormatting sqref="F17:AJ17">
    <cfRule type="expression" dxfId="22" priority="23">
      <formula>F17&gt;=8</formula>
    </cfRule>
  </conditionalFormatting>
  <conditionalFormatting sqref="F6:AJ6">
    <cfRule type="expression" dxfId="21" priority="22">
      <formula>AND(F17&gt;=8, F6="出")</formula>
    </cfRule>
  </conditionalFormatting>
  <conditionalFormatting sqref="F7:AJ7">
    <cfRule type="expression" dxfId="20" priority="12">
      <formula>AND(F17&gt;=8, F7="出")</formula>
    </cfRule>
    <cfRule type="expression" dxfId="19" priority="21">
      <formula>AND(Cells(15,5)&gt;=8, Cells(6,5)="出")</formula>
    </cfRule>
  </conditionalFormatting>
  <conditionalFormatting sqref="F8:AJ8">
    <cfRule type="expression" dxfId="18" priority="11">
      <formula>AND(F17&gt;=8, F8="出")</formula>
    </cfRule>
    <cfRule type="expression" dxfId="17" priority="20">
      <formula>AND(Cells(15,5)&gt;=8, Cells(7,5)="出")</formula>
    </cfRule>
  </conditionalFormatting>
  <conditionalFormatting sqref="F9:AJ9">
    <cfRule type="expression" dxfId="16" priority="10">
      <formula>AND(F17&gt;=8, F9="出")</formula>
    </cfRule>
    <cfRule type="expression" dxfId="15" priority="19">
      <formula>AND(Cells(15,5)&gt;=8, Cells(8,5)="出")</formula>
    </cfRule>
  </conditionalFormatting>
  <conditionalFormatting sqref="F10:AJ10">
    <cfRule type="expression" dxfId="14" priority="9">
      <formula>AND(F17&gt;=8, F10="出")</formula>
    </cfRule>
    <cfRule type="expression" dxfId="13" priority="18">
      <formula>AND(Cells(15,5)&gt;=8, Cells(9,5)="出")</formula>
    </cfRule>
  </conditionalFormatting>
  <conditionalFormatting sqref="F11:AJ11">
    <cfRule type="expression" dxfId="12" priority="8">
      <formula>AND(F17&gt;=8, F11="出")</formula>
    </cfRule>
    <cfRule type="expression" dxfId="11" priority="17">
      <formula>AND(Cells(15,5)&gt;=8, Cells(10,5)="出")</formula>
    </cfRule>
  </conditionalFormatting>
  <conditionalFormatting sqref="F12:AJ13">
    <cfRule type="expression" dxfId="10" priority="7">
      <formula>AND(F17&gt;=8, F12="出")</formula>
    </cfRule>
    <cfRule type="expression" dxfId="9" priority="16">
      <formula>AND(Cells(15,5)&gt;=8, Cells(11,5)="出")</formula>
    </cfRule>
  </conditionalFormatting>
  <conditionalFormatting sqref="F14:AJ14">
    <cfRule type="expression" dxfId="8" priority="6">
      <formula>AND(F17&gt;=8, F14="出")</formula>
    </cfRule>
    <cfRule type="expression" dxfId="7" priority="15">
      <formula>AND(Cells(15,5)&gt;=8, Cells(12,5)="出")</formula>
    </cfRule>
  </conditionalFormatting>
  <conditionalFormatting sqref="F15:AJ15">
    <cfRule type="expression" dxfId="6" priority="5">
      <formula>AND(F17&gt;=8, F15="出")</formula>
    </cfRule>
    <cfRule type="expression" dxfId="5" priority="14">
      <formula>AND(Cells(15,5)&gt;=8, Cells(13,5)="出")</formula>
    </cfRule>
  </conditionalFormatting>
  <conditionalFormatting sqref="F16:AJ16">
    <cfRule type="expression" dxfId="4" priority="4">
      <formula>AND(F17&gt;=8, F16="出")</formula>
    </cfRule>
    <cfRule type="expression" dxfId="3" priority="13">
      <formula>AND(F17&gt;=8, F16="出")</formula>
    </cfRule>
  </conditionalFormatting>
  <conditionalFormatting sqref="F20:AJ20">
    <cfRule type="expression" dxfId="2" priority="3">
      <formula>F20&lt;=0</formula>
    </cfRule>
  </conditionalFormatting>
  <conditionalFormatting sqref="F19:AJ19">
    <cfRule type="expression" dxfId="1" priority="2">
      <formula>F19&gt;=8</formula>
    </cfRule>
  </conditionalFormatting>
  <conditionalFormatting sqref="F3:AG3">
    <cfRule type="expression" dxfId="0" priority="1">
      <formula>WEEKDAY(F3)=1</formula>
    </cfRule>
  </conditionalFormatting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日付からGantt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8</xdr:col>
                    <xdr:colOff>371475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日付Serialで入力">
                <anchor moveWithCells="1" sizeWithCells="1">
                  <from>
                    <xdr:col>3</xdr:col>
                    <xdr:colOff>476250</xdr:colOff>
                    <xdr:row>0</xdr:row>
                    <xdr:rowOff>161925</xdr:rowOff>
                  </from>
                  <to>
                    <xdr:col>5</xdr:col>
                    <xdr:colOff>38100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apesdel_StraightArrowConnector">
                <anchor moveWithCells="1" sizeWithCells="1">
                  <from>
                    <xdr:col>14</xdr:col>
                    <xdr:colOff>57150</xdr:colOff>
                    <xdr:row>0</xdr:row>
                    <xdr:rowOff>171450</xdr:rowOff>
                  </from>
                  <to>
                    <xdr:col>18</xdr:col>
                    <xdr:colOff>295275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ctivecellrow_Delete">
                <anchor moveWithCells="1" sizeWithCells="1">
                  <from>
                    <xdr:col>19</xdr:col>
                    <xdr:colOff>285750</xdr:colOff>
                    <xdr:row>0</xdr:row>
                    <xdr:rowOff>171450</xdr:rowOff>
                  </from>
                  <to>
                    <xdr:col>24</xdr:col>
                    <xdr:colOff>85725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BD8A7-EB44-45F1-8929-41117F44DA8A}">
  <sheetPr codeName="Sheet1"/>
  <dimension ref="A2:A8"/>
  <sheetViews>
    <sheetView workbookViewId="0">
      <selection activeCell="A2" sqref="A2:A8"/>
    </sheetView>
  </sheetViews>
  <sheetFormatPr defaultRowHeight="19.5" x14ac:dyDescent="0.45"/>
  <sheetData>
    <row r="2" spans="1:1" x14ac:dyDescent="0.45">
      <c r="A2" s="23" t="s">
        <v>8</v>
      </c>
    </row>
    <row r="3" spans="1:1" x14ac:dyDescent="0.45">
      <c r="A3" s="20" t="s">
        <v>9</v>
      </c>
    </row>
    <row r="4" spans="1:1" x14ac:dyDescent="0.45">
      <c r="A4" s="18" t="s">
        <v>10</v>
      </c>
    </row>
    <row r="5" spans="1:1" x14ac:dyDescent="0.45">
      <c r="A5" s="19" t="s">
        <v>11</v>
      </c>
    </row>
    <row r="6" spans="1:1" x14ac:dyDescent="0.45">
      <c r="A6" s="21" t="s">
        <v>12</v>
      </c>
    </row>
    <row r="7" spans="1:1" x14ac:dyDescent="0.45">
      <c r="A7" s="24" t="s">
        <v>13</v>
      </c>
    </row>
    <row r="8" spans="1:1" x14ac:dyDescent="0.45">
      <c r="A8" s="22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gantt_sh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2020-07-21T04:53:35Z</dcterms:created>
  <dcterms:modified xsi:type="dcterms:W3CDTF">2021-09-10T21:56:50Z</dcterms:modified>
</cp:coreProperties>
</file>